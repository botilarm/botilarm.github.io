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fa25\egr304\individual_datasheet\botilarm.github.io\docs\05-Power-Budget\"/>
    </mc:Choice>
  </mc:AlternateContent>
  <xr:revisionPtr revIDLastSave="0" documentId="13_ncr:1_{3A355B2D-1D4E-4BD6-AA6C-9E940E6B2C10}" xr6:coauthVersionLast="47" xr6:coauthVersionMax="47" xr10:uidLastSave="{00000000-0000-0000-0000-000000000000}"/>
  <bookViews>
    <workbookView xWindow="750" yWindow="-120" windowWidth="28170" windowHeight="16440" xr2:uid="{00000000-000D-0000-FFFF-FFFF00000000}"/>
  </bookViews>
  <sheets>
    <sheet name="Power Budget" sheetId="1" r:id="rId1"/>
  </sheets>
  <definedNames>
    <definedName name="_xlnm.Print_Area" localSheetId="0">'Power Budget'!$A$1:$H$31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9" i="1"/>
  <c r="G10" i="1"/>
  <c r="G11" i="1"/>
  <c r="G8" i="1"/>
  <c r="G21" i="1" l="1"/>
  <c r="G17" i="1"/>
  <c r="G16" i="1"/>
  <c r="G15" i="1"/>
  <c r="G14" i="1"/>
  <c r="G18" i="1" l="1"/>
  <c r="G20" i="1" s="1"/>
  <c r="G22" i="1" s="1"/>
</calcChain>
</file>

<file path=xl/sharedStrings.xml><?xml version="1.0" encoding="utf-8"?>
<sst xmlns="http://schemas.openxmlformats.org/spreadsheetml/2006/main" count="92" uniqueCount="50">
  <si>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</si>
  <si>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</si>
  <si>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</si>
  <si>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</si>
  <si>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</si>
  <si>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</si>
  <si>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</si>
  <si>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#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</si>
  <si>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</si>
  <si>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</si>
  <si>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</si>
  <si>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</si>
  <si>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</si>
  <si>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</si>
  <si>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>Total Remaining Current Available on +5V Rail</t>
  </si>
  <si>
    <t>Output Voltage</t>
  </si>
  <si>
    <t>Plug-in Wall Supply</t>
  </si>
  <si>
    <t>Total Remaining Current Available on External Power Source 1</t>
  </si>
  <si>
    <t>Notes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</si>
  <si>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</si>
  <si>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</si>
  <si>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Spark Guard</t>
  </si>
  <si>
    <t>Armando Botiller, Manuel Castro, Aysuh Rathi</t>
  </si>
  <si>
    <t>PIC18F57Q43</t>
  </si>
  <si>
    <t>Curiosity Nano Microcontroller</t>
  </si>
  <si>
    <t>1.8-5.1V</t>
  </si>
  <si>
    <t>USB1130-15-A</t>
  </si>
  <si>
    <t>0-30V</t>
  </si>
  <si>
    <t>GCT USB A Connector</t>
  </si>
  <si>
    <t>Op Amp</t>
  </si>
  <si>
    <t>MCP6004-I/P</t>
  </si>
  <si>
    <t>1.8-6V</t>
  </si>
  <si>
    <t>3 Digit 7 Segment Display</t>
  </si>
  <si>
    <t>BA56-12GWA_AB</t>
  </si>
  <si>
    <t>2.2-2.5V</t>
  </si>
  <si>
    <t xml:space="preserve"> +5V regulator</t>
  </si>
  <si>
    <t xml:space="preserve"> +1.5V - 25V</t>
  </si>
  <si>
    <t>LM1084IT-5.0/NOPB-ND</t>
  </si>
  <si>
    <t>5V</t>
  </si>
  <si>
    <t>90-264 VAC</t>
  </si>
  <si>
    <t>12V</t>
  </si>
  <si>
    <t>Spark Guard Power Monitor Power Budget</t>
  </si>
  <si>
    <t>Regulator or Source Choice</t>
  </si>
  <si>
    <t>External Power Source</t>
  </si>
  <si>
    <t>Power Source Selection</t>
  </si>
  <si>
    <t>Power Rails Connected to External Power Source</t>
  </si>
  <si>
    <t>Supply Voltage Range</t>
  </si>
  <si>
    <t>Absolute Maximum Current (mA)</t>
  </si>
  <si>
    <t>Total Current (mA)</t>
  </si>
  <si>
    <t>ZF120A-1205000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</si>
</sst>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24"/>
      <color rgb="FF000000"/>
      <name val="Arial"/>
      <family val="2"/>
    </font>
    <font>
      <sz val="12"/>
      <name val="Arial"/>
      <family val="2"/>
    </font>
    <font>
      <b/>
      <i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9" fontId="1" fillId="0" borderId="5" xfId="0" applyNumberFormat="1" applyFont="1" applyBorder="1"/>
    <xf numFmtId="9" fontId="1" fillId="0" borderId="3" xfId="0" applyNumberFormat="1" applyFont="1" applyBorder="1"/>
    <xf numFmtId="0" fontId="5" fillId="0" borderId="6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/>
    <xf numFmtId="0" fontId="1" fillId="0" borderId="4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right"/>
    </xf>
    <xf numFmtId="0" fontId="4" fillId="0" borderId="4" xfId="0" applyFont="1" applyBorder="1"/>
    <xf numFmtId="0" fontId="5" fillId="0" borderId="4" xfId="0" applyFont="1" applyBorder="1" applyAlignment="1">
      <alignment horizontal="left"/>
    </xf>
    <xf numFmtId="0" fontId="5" fillId="0" borderId="4" xfId="0" applyFont="1" applyBorder="1"/>
    <xf numFmtId="0" fontId="1" fillId="0" borderId="10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5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4" borderId="4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4" xfId="0" applyFont="1" applyBorder="1"/>
    <xf numFmtId="0" fontId="2" fillId="3" borderId="11" xfId="0" applyFont="1" applyFill="1" applyBorder="1" applyAlignment="1">
      <alignment horizontal="center"/>
    </xf>
    <xf numFmtId="0" fontId="1" fillId="0" borderId="12" xfId="0" applyFont="1" applyBorder="1"/>
    <xf numFmtId="0" fontId="1" fillId="0" borderId="11" xfId="0" applyFont="1" applyBorder="1"/>
    <xf numFmtId="0" fontId="5" fillId="0" borderId="4" xfId="0" applyFont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5" fillId="0" borderId="4" xfId="0" applyFont="1" applyBorder="1" applyAlignment="1">
      <alignment wrapText="1"/>
    </xf>
    <xf numFmtId="0" fontId="1" fillId="0" borderId="11" xfId="0" applyFont="1" applyBorder="1" applyAlignment="1">
      <alignment horizontal="left" vertical="center"/>
    </xf>
    <xf numFmtId="0" fontId="2" fillId="0" borderId="5" xfId="0" applyFont="1" applyBorder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tabSelected="1" zoomScaleNormal="100" zoomScaleSheetLayoutView="70" workbookViewId="0">
      <selection activeCell="B4" sqref="B4"/>
    </sheetView>
  </sheetViews>
  <sheetFormatPr defaultColWidth="13.5" defaultRowHeight="15.75" customHeight="1" x14ac:dyDescent="0.2"/>
  <cols>
    <col min="1" max="1" width="28" style="1" customWidth="1"/>
    <col min="2" max="2" width="45.5" style="1" customWidth="1"/>
    <col min="3" max="3" width="28.375" style="1" customWidth="1"/>
    <col min="4" max="4" width="24.75" style="1" bestFit="1" customWidth="1"/>
    <col min="5" max="5" width="13.625" style="1" customWidth="1"/>
    <col min="6" max="6" width="34.625" style="1" bestFit="1" customWidth="1"/>
    <col min="7" max="7" width="22.125" style="1" customWidth="1"/>
    <col min="8" max="8" width="13.5" style="1" customWidth="1"/>
    <col min="9" max="16384" width="13.5" style="1"/>
  </cols>
  <sheetData>
    <row r="1" spans="1:8" ht="45.75" customHeight="1" x14ac:dyDescent="0.2">
      <c r="A1" s="17" t="s">
        <v>41</v>
      </c>
      <c r="B1" s="18"/>
      <c r="C1" s="18"/>
      <c r="D1" s="18"/>
      <c r="E1" s="18"/>
      <c r="F1" s="18"/>
      <c r="G1" s="18"/>
      <c r="H1" s="18"/>
    </row>
    <row r="2" spans="1:8" ht="15" customHeight="1" x14ac:dyDescent="0.25">
      <c r="A2" s="56" t="s">
        <v>0</v>
      </c>
      <c r="B2" s="46">
        <v>203</v>
      </c>
      <c r="D2" s="2"/>
      <c r="E2" s="2"/>
    </row>
    <row r="3" spans="1:8" ht="15" customHeight="1" x14ac:dyDescent="0.25">
      <c r="A3" s="56" t="s">
        <v>1</v>
      </c>
      <c r="B3" s="47" t="s">
        <v>21</v>
      </c>
      <c r="C3" s="3"/>
      <c r="D3" s="2"/>
      <c r="E3" s="2"/>
      <c r="F3" s="3"/>
      <c r="G3" s="3"/>
      <c r="H3" s="3"/>
    </row>
    <row r="4" spans="1:8" ht="15" customHeight="1" x14ac:dyDescent="0.25">
      <c r="A4" s="21" t="s">
        <v>2</v>
      </c>
      <c r="B4" s="47" t="s">
        <v>22</v>
      </c>
      <c r="C4" s="3"/>
      <c r="D4" s="2"/>
      <c r="E4" s="2"/>
      <c r="F4" s="3"/>
      <c r="G4" s="3"/>
      <c r="H4" s="3"/>
    </row>
    <row r="5" spans="1:8" ht="15" customHeight="1" x14ac:dyDescent="0.25">
      <c r="A5" s="56" t="s">
        <v>3</v>
      </c>
      <c r="B5" s="47">
        <v>1</v>
      </c>
      <c r="C5" s="3"/>
      <c r="D5" s="2"/>
      <c r="E5" s="2"/>
      <c r="F5" s="3"/>
      <c r="G5" s="3"/>
      <c r="H5" s="3"/>
    </row>
    <row r="6" spans="1:8" ht="15" customHeight="1" x14ac:dyDescent="0.25">
      <c r="A6" s="48"/>
      <c r="B6" s="48"/>
      <c r="C6" s="3"/>
      <c r="D6" s="2"/>
      <c r="E6" s="2"/>
      <c r="F6" s="3"/>
      <c r="G6" s="3"/>
      <c r="H6" s="3"/>
    </row>
    <row r="7" spans="1:8" ht="15" customHeight="1" x14ac:dyDescent="0.25">
      <c r="A7" s="39" t="s">
        <v>4</v>
      </c>
      <c r="B7" s="49" t="s">
        <v>5</v>
      </c>
      <c r="C7" s="37" t="s">
        <v>6</v>
      </c>
      <c r="D7" s="41" t="s">
        <v>46</v>
      </c>
      <c r="E7" s="37" t="s">
        <v>7</v>
      </c>
      <c r="F7" s="41" t="s">
        <v>47</v>
      </c>
      <c r="G7" s="37" t="s">
        <v>48</v>
      </c>
      <c r="H7" s="37" t="s">
        <v>8</v>
      </c>
    </row>
    <row r="8" spans="1:8" ht="15" customHeight="1" x14ac:dyDescent="0.2">
      <c r="A8" s="39"/>
      <c r="B8" s="50" t="s">
        <v>24</v>
      </c>
      <c r="C8" s="19" t="s">
        <v>23</v>
      </c>
      <c r="D8" s="35" t="s">
        <v>25</v>
      </c>
      <c r="E8" s="35">
        <v>1</v>
      </c>
      <c r="F8" s="19">
        <v>500</v>
      </c>
      <c r="G8" s="19">
        <f>F8*E8</f>
        <v>500</v>
      </c>
      <c r="H8" s="19" t="s">
        <v>9</v>
      </c>
    </row>
    <row r="9" spans="1:8" ht="15" customHeight="1" x14ac:dyDescent="0.2">
      <c r="A9" s="39"/>
      <c r="B9" s="51" t="s">
        <v>28</v>
      </c>
      <c r="C9" s="7" t="s">
        <v>26</v>
      </c>
      <c r="D9" s="8" t="s">
        <v>27</v>
      </c>
      <c r="E9" s="8">
        <v>1</v>
      </c>
      <c r="F9" s="7">
        <v>3000</v>
      </c>
      <c r="G9" s="7">
        <f t="shared" ref="G9:G11" si="0">F9*E9</f>
        <v>3000</v>
      </c>
      <c r="H9" s="7" t="s">
        <v>9</v>
      </c>
    </row>
    <row r="10" spans="1:8" ht="15" customHeight="1" x14ac:dyDescent="0.2">
      <c r="A10" s="39"/>
      <c r="B10" s="51" t="s">
        <v>29</v>
      </c>
      <c r="C10" s="7" t="s">
        <v>30</v>
      </c>
      <c r="D10" s="9" t="s">
        <v>31</v>
      </c>
      <c r="E10" s="8">
        <v>1</v>
      </c>
      <c r="F10" s="10">
        <v>100</v>
      </c>
      <c r="G10" s="7">
        <f t="shared" si="0"/>
        <v>100</v>
      </c>
      <c r="H10" s="7" t="s">
        <v>9</v>
      </c>
    </row>
    <row r="11" spans="1:8" s="20" customFormat="1" ht="15" customHeight="1" x14ac:dyDescent="0.2">
      <c r="A11" s="39"/>
      <c r="B11" s="51" t="s">
        <v>32</v>
      </c>
      <c r="C11" s="7" t="s">
        <v>33</v>
      </c>
      <c r="D11" s="8" t="s">
        <v>34</v>
      </c>
      <c r="E11" s="8">
        <v>1</v>
      </c>
      <c r="F11" s="7">
        <v>140</v>
      </c>
      <c r="G11" s="7">
        <f t="shared" si="0"/>
        <v>140</v>
      </c>
      <c r="H11" s="7" t="s">
        <v>9</v>
      </c>
    </row>
    <row r="12" spans="1:8" s="20" customFormat="1" ht="15" customHeight="1" x14ac:dyDescent="0.2">
      <c r="D12" s="29"/>
      <c r="E12" s="29"/>
    </row>
    <row r="13" spans="1:8" s="20" customFormat="1" ht="15" customHeight="1" x14ac:dyDescent="0.25">
      <c r="A13" s="38" t="s">
        <v>12</v>
      </c>
      <c r="B13" s="49" t="s">
        <v>5</v>
      </c>
      <c r="C13" s="37" t="s">
        <v>6</v>
      </c>
      <c r="D13" s="41" t="s">
        <v>46</v>
      </c>
      <c r="E13" s="37" t="s">
        <v>7</v>
      </c>
      <c r="F13" s="41" t="s">
        <v>47</v>
      </c>
      <c r="G13" s="37" t="s">
        <v>48</v>
      </c>
      <c r="H13" s="37" t="s">
        <v>8</v>
      </c>
    </row>
    <row r="14" spans="1:8" ht="15" customHeight="1" x14ac:dyDescent="0.2">
      <c r="A14" s="38"/>
      <c r="B14" s="50" t="s">
        <v>24</v>
      </c>
      <c r="C14" s="19" t="s">
        <v>23</v>
      </c>
      <c r="D14" s="35" t="s">
        <v>25</v>
      </c>
      <c r="E14" s="35">
        <v>1</v>
      </c>
      <c r="F14" s="19">
        <v>500</v>
      </c>
      <c r="G14" s="19">
        <f t="shared" ref="G14:G17" si="1">E14*F14</f>
        <v>500</v>
      </c>
      <c r="H14" s="19" t="s">
        <v>9</v>
      </c>
    </row>
    <row r="15" spans="1:8" ht="15" customHeight="1" x14ac:dyDescent="0.2">
      <c r="A15" s="38"/>
      <c r="B15" s="51" t="s">
        <v>28</v>
      </c>
      <c r="C15" s="7" t="s">
        <v>26</v>
      </c>
      <c r="D15" s="8" t="s">
        <v>27</v>
      </c>
      <c r="E15" s="8">
        <v>1</v>
      </c>
      <c r="F15" s="7">
        <v>3000</v>
      </c>
      <c r="G15" s="7">
        <f t="shared" si="1"/>
        <v>3000</v>
      </c>
      <c r="H15" s="7" t="s">
        <v>9</v>
      </c>
    </row>
    <row r="16" spans="1:8" ht="15" customHeight="1" x14ac:dyDescent="0.2">
      <c r="A16" s="38"/>
      <c r="B16" s="51" t="s">
        <v>29</v>
      </c>
      <c r="C16" s="7" t="s">
        <v>30</v>
      </c>
      <c r="D16" s="9" t="s">
        <v>31</v>
      </c>
      <c r="E16" s="8">
        <v>1</v>
      </c>
      <c r="F16" s="10">
        <v>100</v>
      </c>
      <c r="G16" s="7">
        <f t="shared" si="1"/>
        <v>100</v>
      </c>
      <c r="H16" s="7" t="s">
        <v>9</v>
      </c>
    </row>
    <row r="17" spans="1:8" ht="15" customHeight="1" x14ac:dyDescent="0.2">
      <c r="A17" s="38"/>
      <c r="B17" s="51" t="s">
        <v>32</v>
      </c>
      <c r="C17" s="7" t="s">
        <v>33</v>
      </c>
      <c r="D17" s="8" t="s">
        <v>34</v>
      </c>
      <c r="E17" s="8">
        <v>1</v>
      </c>
      <c r="F17" s="7">
        <v>140</v>
      </c>
      <c r="G17" s="7">
        <f t="shared" si="1"/>
        <v>140</v>
      </c>
      <c r="H17" s="7" t="s">
        <v>9</v>
      </c>
    </row>
    <row r="18" spans="1:8" ht="15" customHeight="1" x14ac:dyDescent="0.2">
      <c r="A18" s="20"/>
      <c r="B18" s="13" t="s">
        <v>10</v>
      </c>
      <c r="C18" s="13"/>
      <c r="D18" s="13"/>
      <c r="E18" s="13"/>
      <c r="F18" s="14"/>
      <c r="G18" s="7">
        <f>SUM(G14:G17)</f>
        <v>3740</v>
      </c>
      <c r="H18" s="7" t="s">
        <v>9</v>
      </c>
    </row>
    <row r="19" spans="1:8" ht="15" customHeight="1" x14ac:dyDescent="0.2">
      <c r="A19" s="20"/>
      <c r="B19" s="52" t="s">
        <v>11</v>
      </c>
      <c r="C19" s="6"/>
      <c r="D19" s="6"/>
      <c r="E19" s="6"/>
      <c r="F19" s="6"/>
      <c r="G19" s="11">
        <v>0.25</v>
      </c>
      <c r="H19" s="12"/>
    </row>
    <row r="20" spans="1:8" ht="15" customHeight="1" x14ac:dyDescent="0.2">
      <c r="A20" s="33"/>
      <c r="B20" s="52" t="s">
        <v>13</v>
      </c>
      <c r="C20" s="6"/>
      <c r="D20" s="6"/>
      <c r="E20" s="6"/>
      <c r="F20" s="6"/>
      <c r="G20" s="7">
        <f>G18*(1+G19)</f>
        <v>4675</v>
      </c>
      <c r="H20" s="7" t="s">
        <v>9</v>
      </c>
    </row>
    <row r="21" spans="1:8" ht="15" customHeight="1" x14ac:dyDescent="0.2">
      <c r="A21" s="15" t="s">
        <v>42</v>
      </c>
      <c r="B21" s="53" t="s">
        <v>35</v>
      </c>
      <c r="C21" s="16" t="s">
        <v>37</v>
      </c>
      <c r="D21" s="8" t="s">
        <v>36</v>
      </c>
      <c r="E21" s="8">
        <v>1</v>
      </c>
      <c r="F21" s="10">
        <v>5000</v>
      </c>
      <c r="G21" s="10">
        <f>E21*F21</f>
        <v>5000</v>
      </c>
      <c r="H21" s="7" t="s">
        <v>9</v>
      </c>
    </row>
    <row r="22" spans="1:8" ht="15" customHeight="1" x14ac:dyDescent="0.2">
      <c r="A22" s="32"/>
      <c r="B22" s="30" t="s">
        <v>14</v>
      </c>
      <c r="C22" s="31"/>
      <c r="D22" s="31"/>
      <c r="E22" s="31"/>
      <c r="F22" s="31"/>
      <c r="G22" s="10">
        <f>G21-G20</f>
        <v>325</v>
      </c>
      <c r="H22" s="7" t="s">
        <v>9</v>
      </c>
    </row>
    <row r="23" spans="1:8" ht="15" customHeight="1" x14ac:dyDescent="0.2">
      <c r="A23" s="54"/>
      <c r="B23" s="54"/>
      <c r="C23" s="4"/>
      <c r="D23" s="4"/>
      <c r="E23" s="4"/>
      <c r="F23" s="4"/>
      <c r="G23" s="33"/>
      <c r="H23" s="33"/>
    </row>
    <row r="24" spans="1:8" ht="15" customHeight="1" x14ac:dyDescent="0.25">
      <c r="A24" s="36" t="s">
        <v>43</v>
      </c>
      <c r="B24" s="49" t="s">
        <v>5</v>
      </c>
      <c r="C24" s="37" t="s">
        <v>6</v>
      </c>
      <c r="D24" s="41" t="s">
        <v>46</v>
      </c>
      <c r="E24" s="40" t="s">
        <v>15</v>
      </c>
      <c r="F24" s="41" t="s">
        <v>47</v>
      </c>
      <c r="G24" s="37" t="s">
        <v>48</v>
      </c>
      <c r="H24" s="37" t="s">
        <v>8</v>
      </c>
    </row>
    <row r="25" spans="1:8" ht="15" customHeight="1" x14ac:dyDescent="0.25">
      <c r="A25" s="21" t="s">
        <v>44</v>
      </c>
      <c r="B25" s="53" t="s">
        <v>16</v>
      </c>
      <c r="C25" s="16" t="s">
        <v>49</v>
      </c>
      <c r="D25" s="8" t="s">
        <v>39</v>
      </c>
      <c r="E25" s="8" t="s">
        <v>40</v>
      </c>
      <c r="F25" s="34">
        <v>5000</v>
      </c>
      <c r="G25" s="10">
        <v>5000</v>
      </c>
      <c r="H25" s="16" t="s">
        <v>9</v>
      </c>
    </row>
    <row r="26" spans="1:8" ht="35.25" customHeight="1" x14ac:dyDescent="0.2">
      <c r="A26" s="22" t="s">
        <v>45</v>
      </c>
      <c r="B26" s="55" t="s">
        <v>12</v>
      </c>
      <c r="C26" s="23" t="s">
        <v>37</v>
      </c>
      <c r="D26" s="24" t="s">
        <v>36</v>
      </c>
      <c r="E26" s="24" t="s">
        <v>38</v>
      </c>
      <c r="F26" s="25">
        <v>5000</v>
      </c>
      <c r="G26" s="25">
        <v>4675</v>
      </c>
      <c r="H26" s="26" t="s">
        <v>9</v>
      </c>
    </row>
    <row r="27" spans="1:8" ht="15" customHeight="1" x14ac:dyDescent="0.25">
      <c r="A27" s="5"/>
      <c r="B27" s="30" t="s">
        <v>17</v>
      </c>
      <c r="C27" s="42"/>
      <c r="D27" s="42"/>
      <c r="E27" s="42"/>
      <c r="F27" s="42"/>
      <c r="G27" s="27">
        <f>G25-G26</f>
        <v>325</v>
      </c>
      <c r="H27" s="28" t="s">
        <v>9</v>
      </c>
    </row>
    <row r="28" spans="1:8" ht="15" customHeight="1" x14ac:dyDescent="0.2">
      <c r="A28" s="45" t="s">
        <v>18</v>
      </c>
      <c r="B28" s="45"/>
      <c r="C28" s="45"/>
      <c r="D28" s="45"/>
      <c r="E28" s="45"/>
      <c r="F28" s="45"/>
      <c r="G28" s="45"/>
      <c r="H28" s="45"/>
    </row>
    <row r="29" spans="1:8" ht="15" customHeight="1" x14ac:dyDescent="0.2">
      <c r="A29" s="43" t="s">
        <v>19</v>
      </c>
      <c r="B29" s="42"/>
      <c r="C29" s="42"/>
      <c r="D29" s="42"/>
      <c r="E29" s="42"/>
      <c r="F29" s="42"/>
      <c r="G29" s="42"/>
      <c r="H29" s="42"/>
    </row>
    <row r="30" spans="1:8" ht="15" customHeight="1" x14ac:dyDescent="0.2">
      <c r="A30" s="44" t="s">
        <v>20</v>
      </c>
      <c r="B30" s="42"/>
      <c r="C30" s="42"/>
      <c r="D30" s="42"/>
      <c r="E30" s="42"/>
      <c r="F30" s="42"/>
      <c r="G30" s="42"/>
      <c r="H30" s="42"/>
    </row>
    <row r="31" spans="1:8" ht="15.75" customHeight="1" x14ac:dyDescent="0.2">
      <c r="A31" s="20"/>
      <c r="B31" s="20"/>
      <c r="C31" s="20"/>
      <c r="D31" s="20"/>
      <c r="E31" s="20"/>
      <c r="F31" s="20"/>
      <c r="G31" s="20"/>
      <c r="H31" s="20"/>
    </row>
  </sheetData>
  <mergeCells count="11">
    <mergeCell ref="A1:H1"/>
    <mergeCell ref="B18:F18"/>
    <mergeCell ref="B19:F19"/>
    <mergeCell ref="A13:A17"/>
    <mergeCell ref="A7:A11"/>
    <mergeCell ref="B20:F20"/>
    <mergeCell ref="B22:F22"/>
    <mergeCell ref="A28:H28"/>
    <mergeCell ref="A29:H29"/>
    <mergeCell ref="A30:H30"/>
    <mergeCell ref="B27:F27"/>
  </mergeCells>
  <conditionalFormatting sqref="G22">
    <cfRule type="cellIs" dxfId="0" priority="1" operator="lessThan">
      <formula>0</formula>
    </cfRule>
  </conditionalFormatting>
  <pageMargins left="0.7" right="0.7" top="0.75" bottom="0.75" header="0.3" footer="0.3"/>
  <pageSetup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bmbis</dc:creator>
  <cp:lastModifiedBy>Armando Botiller (Student)</cp:lastModifiedBy>
  <cp:lastPrinted>2025-11-19T06:20:32Z</cp:lastPrinted>
  <dcterms:modified xsi:type="dcterms:W3CDTF">2025-11-19T06:20:39Z</dcterms:modified>
</cp:coreProperties>
</file>