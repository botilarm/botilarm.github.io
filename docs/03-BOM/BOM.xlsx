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fa25\egr304\individual_datasheet\botilarm.github.io\docs\03-BOM\"/>
    </mc:Choice>
  </mc:AlternateContent>
  <xr:revisionPtr revIDLastSave="0" documentId="8_{99E4C990-4704-4E08-B53B-5F11D1E6734E}" xr6:coauthVersionLast="47" xr6:coauthVersionMax="47" xr10:uidLastSave="{00000000-0000-0000-0000-000000000000}"/>
  <bookViews>
    <workbookView xWindow="750" yWindow="-120" windowWidth="28170" windowHeight="16440" tabRatio="95" xr2:uid="{FC91CB39-B339-4ABA-B4C2-A367FCFE2A5C}"/>
  </bookViews>
  <sheets>
    <sheet name="sparkguard_power_monitor" sheetId="1" r:id="rId1"/>
  </sheets>
  <calcPr calcId="0"/>
</workbook>
</file>

<file path=xl/calcChain.xml><?xml version="1.0" encoding="utf-8"?>
<calcChain xmlns="http://schemas.openxmlformats.org/spreadsheetml/2006/main">
  <c r="D6" i="1" l="1"/>
  <c r="D12" i="1"/>
  <c r="D18" i="1"/>
  <c r="D10" i="1"/>
  <c r="D5" i="1" l="1"/>
  <c r="D9" i="1"/>
  <c r="D11" i="1"/>
  <c r="D13" i="1"/>
  <c r="D14" i="1"/>
  <c r="D15" i="1"/>
  <c r="D16" i="1"/>
  <c r="D17" i="1"/>
  <c r="D19" i="1"/>
  <c r="D20" i="1"/>
  <c r="D21" i="1"/>
  <c r="D22" i="1"/>
  <c r="D23" i="1"/>
  <c r="D24" i="1"/>
  <c r="D2" i="1"/>
  <c r="D3" i="1"/>
  <c r="D4" i="1"/>
  <c r="D7" i="1"/>
  <c r="D8" i="1"/>
</calcChain>
</file>

<file path=xl/sharedStrings.xml><?xml version="1.0" encoding="utf-8"?>
<sst xmlns="http://schemas.openxmlformats.org/spreadsheetml/2006/main" count="168" uniqueCount="104">
  <si>
    <t>Qty</t>
  </si>
  <si>
    <t>Datasheet</t>
  </si>
  <si>
    <t>C1,C3,C7</t>
  </si>
  <si>
    <t>D1</t>
  </si>
  <si>
    <t>https://www.st.com/content/ccc/resource/technical/document/datasheet/27/f2/c9/1e/ec/a0/40/ef/CD00248924.pdf/files/CD00248924.pdf/jcr:content/translations/en.CD00248924.pdf</t>
  </si>
  <si>
    <t>D2,D3,D4</t>
  </si>
  <si>
    <t>F1</t>
  </si>
  <si>
    <t>F2</t>
  </si>
  <si>
    <t>J1</t>
  </si>
  <si>
    <t>J2</t>
  </si>
  <si>
    <t>J3</t>
  </si>
  <si>
    <t>J4,J6</t>
  </si>
  <si>
    <t>J5</t>
  </si>
  <si>
    <t>https://www.molex.com/en-us/products/part-detail-pdf/702460801?display=pdf</t>
  </si>
  <si>
    <t>R1</t>
  </si>
  <si>
    <t>R2,R3,R4,R7,R8,R9</t>
  </si>
  <si>
    <t>R5</t>
  </si>
  <si>
    <t>R6</t>
  </si>
  <si>
    <t>R_shunt1</t>
  </si>
  <si>
    <t>SW1</t>
  </si>
  <si>
    <t>TP1,TP2</t>
  </si>
  <si>
    <t>U1</t>
  </si>
  <si>
    <t>U2</t>
  </si>
  <si>
    <t>U3</t>
  </si>
  <si>
    <t>U4</t>
  </si>
  <si>
    <t>0.1 uF Ceramic Capacitor</t>
  </si>
  <si>
    <t>Part Name</t>
  </si>
  <si>
    <t>Per unit Cost</t>
  </si>
  <si>
    <t>Total Cost</t>
  </si>
  <si>
    <t>Manufacturer</t>
  </si>
  <si>
    <t>Manufacturer Part #</t>
  </si>
  <si>
    <t>Supplier</t>
  </si>
  <si>
    <t>Vendor Part #</t>
  </si>
  <si>
    <t>Schematic Reference Designators</t>
  </si>
  <si>
    <t>Unknown</t>
  </si>
  <si>
    <t>Peralta 109</t>
  </si>
  <si>
    <t>n/a</t>
  </si>
  <si>
    <t>https://www.rcscomponents.kiev.ua/datasheets/Chongx-info.pdf</t>
  </si>
  <si>
    <t>Chongx</t>
  </si>
  <si>
    <t>10 uF Aluminum Electrolytic Capacitor</t>
  </si>
  <si>
    <t>C2,C4,C5,C6</t>
  </si>
  <si>
    <t>DIODE STANDARD 600V 4A DO201AD</t>
  </si>
  <si>
    <t>STTH4L06</t>
  </si>
  <si>
    <t>497-STTH4L06CT-ND</t>
  </si>
  <si>
    <t>Digikey</t>
  </si>
  <si>
    <t>STMicroelectronics</t>
  </si>
  <si>
    <t>5mm Red Led</t>
  </si>
  <si>
    <t>FUSE GLASS 375MA 250VAC 125VDC</t>
  </si>
  <si>
    <t>0225.375MXP</t>
  </si>
  <si>
    <t>Littelfuse Inc.</t>
  </si>
  <si>
    <t>0225.375MXP-ND</t>
  </si>
  <si>
    <t>https://www.littelfuse.com/assetdocs/littelfuse-fuse-224-225-datasheet?assetguid=26e6ad94-5fb7-4bad-acf6-da1c91c16d87</t>
  </si>
  <si>
    <t>022502.5MXP-ND</t>
  </si>
  <si>
    <t>022502.5MXP</t>
  </si>
  <si>
    <t>FUSE GLASS 2.5A 250VAC 125VDC</t>
  </si>
  <si>
    <t>690E104-243-021</t>
  </si>
  <si>
    <t>EDAC Inc.</t>
  </si>
  <si>
    <t>151-690E104-243-021-ND</t>
  </si>
  <si>
    <t>https://files.edac.net/edac/content/690E/690E104-243-021%20-%20EDAC%20USB%20Connector.pdf</t>
  </si>
  <si>
    <t>690 SERIES USB TYPE-A CONNECTOR.</t>
  </si>
  <si>
    <t>DC Barrel jack</t>
  </si>
  <si>
    <t>1x28 Female Header</t>
  </si>
  <si>
    <t>1x02 Female Header</t>
  </si>
  <si>
    <t>CONN HEADER VERT 8POS 2.54MM</t>
  </si>
  <si>
    <t>Molex</t>
  </si>
  <si>
    <t>10k Ohm 1/4W Resistor</t>
  </si>
  <si>
    <t>Peralta 110</t>
  </si>
  <si>
    <t>Peralta 111</t>
  </si>
  <si>
    <t>Peralta 112</t>
  </si>
  <si>
    <t>1k Ohm 1/4W Resistor</t>
  </si>
  <si>
    <t>200 Ohm 1/4W Resistor</t>
  </si>
  <si>
    <t>200k Ohm 1/4W Resistor</t>
  </si>
  <si>
    <t>MSR5-0R01F1</t>
  </si>
  <si>
    <t>696-1651-ND</t>
  </si>
  <si>
    <t>https://www.bourns.com/docs/Product-Datasheets/MSR.pdf</t>
  </si>
  <si>
    <t>Riedon products by Bourns</t>
  </si>
  <si>
    <t>RES 0.01 OHM 1% 5W RADIAL</t>
  </si>
  <si>
    <t>Pushbutton</t>
  </si>
  <si>
    <t>FUSE CLIP CARTRIDGE 250V 10A PCB</t>
  </si>
  <si>
    <t>PC TEST POINT SLOTTED</t>
  </si>
  <si>
    <t>36-1040-ND</t>
  </si>
  <si>
    <t>Keystone Electronics</t>
  </si>
  <si>
    <t>01110501Z</t>
  </si>
  <si>
    <t>F4189-ND</t>
  </si>
  <si>
    <t>https://www.littelfuse.com/assetdocs/littelfuse-fuse-clip-111-datasheet?assetguid=b1ca8750-5406-48d2-b921-b86728e90adf</t>
  </si>
  <si>
    <t>DISP 7SEG 0.56" TRPL GRN 28DIP</t>
  </si>
  <si>
    <t>BA56-12GWA</t>
  </si>
  <si>
    <t>Kingbright</t>
  </si>
  <si>
    <t>754-1656-5-ND</t>
  </si>
  <si>
    <t>https://www.kingbrightusa.com/images/catalog/SPEC/BA56-12GWA.pdf</t>
  </si>
  <si>
    <t>https://www.keyelco.com/userAssets/file/M65p57.pdf</t>
  </si>
  <si>
    <t>IC OPAMP GP 4 CIRCUIT 14DIP</t>
  </si>
  <si>
    <t>MCP6004-I/P</t>
  </si>
  <si>
    <t>Microchip Technology</t>
  </si>
  <si>
    <t>https://ww1.microchip.com/downloads/en/DeviceDoc/MCP6001-1R-1U-2-4-1-MHz-Low-Power-Op-Amp-DS20001733L.pdf</t>
  </si>
  <si>
    <t>IC REG LINEAR 5V 3A TO220-3</t>
  </si>
  <si>
    <t>Texas Instruments</t>
  </si>
  <si>
    <t>LM1085IT-5.0</t>
  </si>
  <si>
    <t>https://www.ti.com/general/docs/suppproductinfo.tsp?distId=10&amp;gotoUrl=https%3A%2F%2Fwww.ti.com%2Flit%2Fgpn%2Flm1085</t>
  </si>
  <si>
    <t>296-43524-5-ND</t>
  </si>
  <si>
    <t>https://ww1.microchip.com/downloads/aemDocuments/documents/MCU08/ProductDocuments/DataSheets/PIC18F27-47-57Q43-Microcontroller-Data-Sheet-XLP-DS40002147.pdf</t>
  </si>
  <si>
    <t>PIC18F57Q43</t>
  </si>
  <si>
    <t>PIC18F57Q43 Curiosity Nano</t>
  </si>
  <si>
    <t>F1,F2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</si>
</sst>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0" fontId="20" fillId="0" borderId="10" xfId="43" applyFont="1" applyBorder="1" applyAlignment="1">
      <alignment wrapText="1"/>
    </xf>
    <xf numFmtId="0" fontId="21" fillId="33" borderId="10" xfId="0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22" fillId="0" borderId="10" xfId="0" applyFont="1" applyBorder="1"/>
    <xf numFmtId="44" fontId="22" fillId="0" borderId="10" xfId="1" applyFont="1" applyBorder="1" applyAlignment="1">
      <alignment wrapText="1"/>
    </xf>
    <xf numFmtId="0" fontId="22" fillId="0" borderId="10" xfId="0" applyFont="1" applyBorder="1" applyAlignment="1">
      <alignment wrapText="1"/>
    </xf>
    <xf numFmtId="44" fontId="22" fillId="0" borderId="10" xfId="0" applyNumberFormat="1" applyFont="1" applyBorder="1" applyAlignment="1">
      <alignment wrapText="1"/>
    </xf>
    <xf numFmtId="0" fontId="22" fillId="0" borderId="10" xfId="0" applyFont="1" applyBorder="1" applyAlignment="1">
      <alignment horizontal="left"/>
    </xf>
    <xf numFmtId="0" fontId="22" fillId="0" borderId="10" xfId="0" applyFont="1" applyBorder="1" applyAlignment="1">
      <alignment horizontal="left" wrapText="1"/>
    </xf>
    <xf numFmtId="0" fontId="23" fillId="0" borderId="10" xfId="43" applyFont="1" applyBorder="1" applyAlignment="1">
      <alignment wrapText="1"/>
    </xf>
    <xf numFmtId="0" fontId="22" fillId="0" borderId="10" xfId="0" applyFont="1" applyBorder="1" applyAlignment="1">
      <alignment horizontal="center" vertical="center" wrapText="1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ttelfuse.com/assetdocs/littelfuse-fuse-clip-111-datasheet?assetguid=b1ca8750-5406-48d2-b921-b86728e90adf" TargetMode="External"/><Relationship Id="rId13" Type="http://schemas.openxmlformats.org/officeDocument/2006/relationships/hyperlink" Target="https://www.keyelco.com/userAssets/file/M65p57.pdf" TargetMode="External"/><Relationship Id="rId3" Type="http://schemas.openxmlformats.org/officeDocument/2006/relationships/hyperlink" Target="https://files.edac.net/edac/content/690E/690E104-243-021%20-%20EDAC%20USB%20Connector.pdf" TargetMode="External"/><Relationship Id="rId7" Type="http://schemas.openxmlformats.org/officeDocument/2006/relationships/hyperlink" Target="https://www.rcscomponents.kiev.ua/datasheets/Chongx-info.pdf" TargetMode="External"/><Relationship Id="rId12" Type="http://schemas.openxmlformats.org/officeDocument/2006/relationships/hyperlink" Target="https://www.kingbrightusa.com/images/catalog/SPEC/BA56-12GWA.pdf" TargetMode="External"/><Relationship Id="rId2" Type="http://schemas.openxmlformats.org/officeDocument/2006/relationships/hyperlink" Target="https://www.bourns.com/docs/Product-Datasheets/MSR.pdf" TargetMode="External"/><Relationship Id="rId1" Type="http://schemas.openxmlformats.org/officeDocument/2006/relationships/hyperlink" Target="https://www.molex.com/en-us/products/part-detail-pdf/702460801?display=pdf" TargetMode="External"/><Relationship Id="rId6" Type="http://schemas.openxmlformats.org/officeDocument/2006/relationships/hyperlink" Target="https://www.st.com/content/ccc/resource/technical/document/datasheet/27/f2/c9/1e/ec/a0/40/ef/CD00248924.pdf/files/CD00248924.pdf/jcr:content/translations/en.CD00248924.pdf" TargetMode="External"/><Relationship Id="rId11" Type="http://schemas.openxmlformats.org/officeDocument/2006/relationships/hyperlink" Target="https://ww1.microchip.com/downloads/en/DeviceDoc/MCP6001-1R-1U-2-4-1-MHz-Low-Power-Op-Amp-DS20001733L.pdf" TargetMode="External"/><Relationship Id="rId5" Type="http://schemas.openxmlformats.org/officeDocument/2006/relationships/hyperlink" Target="https://www.littelfuse.com/assetdocs/littelfuse-fuse-224-225-datasheet?assetguid=26e6ad94-5fb7-4bad-acf6-da1c91c16d87" TargetMode="External"/><Relationship Id="rId10" Type="http://schemas.openxmlformats.org/officeDocument/2006/relationships/hyperlink" Target="https://www.ti.com/general/docs/suppproductinfo.tsp?distId=10&amp;gotoUrl=https%3A%2F%2Fwww.ti.com%2Flit%2Fgpn%2Flm1085" TargetMode="External"/><Relationship Id="rId4" Type="http://schemas.openxmlformats.org/officeDocument/2006/relationships/hyperlink" Target="https://www.littelfuse.com/assetdocs/littelfuse-fuse-224-225-datasheet?assetguid=26e6ad94-5fb7-4bad-acf6-da1c91c16d87" TargetMode="External"/><Relationship Id="rId9" Type="http://schemas.openxmlformats.org/officeDocument/2006/relationships/hyperlink" Target="https://ww1.microchip.com/downloads/aemDocuments/documents/MCU08/ProductDocuments/DataSheets/PIC18F27-47-57Q43-Microcontroller-Data-Sheet-XLP-DS40002147.pdf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9BFEA-B110-47DC-A31D-AB90B3EE0F38}">
  <dimension ref="A1:J24"/>
  <sheetViews>
    <sheetView tabSelected="1" zoomScale="70" zoomScaleNormal="70" workbookViewId="0">
      <selection activeCell="P5" sqref="P5"/>
    </sheetView>
  </sheetViews>
  <sheetFormatPr defaultRowHeight="15" x14ac:dyDescent="0.2"/>
  <cols>
    <col min="1" max="1" width="36.85546875" style="3" customWidth="1"/>
    <col min="2" max="2" width="9.140625" style="3"/>
    <col min="3" max="3" width="6.5703125" style="3" customWidth="1"/>
    <col min="4" max="4" width="10.28515625" style="3" bestFit="1" customWidth="1"/>
    <col min="5" max="5" width="21.140625" style="3" customWidth="1"/>
    <col min="6" max="6" width="21" style="3" customWidth="1"/>
    <col min="7" max="7" width="19.140625" style="3" customWidth="1"/>
    <col min="8" max="8" width="26" style="3" customWidth="1"/>
    <col min="9" max="9" width="63.85546875" style="3" customWidth="1"/>
    <col min="10" max="10" width="23.28515625" style="3" customWidth="1"/>
    <col min="11" max="16384" width="9.140625" style="3"/>
  </cols>
  <sheetData>
    <row r="1" spans="1:10" ht="47.25" x14ac:dyDescent="0.2">
      <c r="A1" s="2" t="s">
        <v>26</v>
      </c>
      <c r="B1" s="2" t="s">
        <v>27</v>
      </c>
      <c r="C1" s="2" t="s">
        <v>0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1</v>
      </c>
      <c r="J1" s="2" t="s">
        <v>33</v>
      </c>
    </row>
    <row r="2" spans="1:10" ht="31.5" x14ac:dyDescent="0.25">
      <c r="A2" s="4" t="s">
        <v>85</v>
      </c>
      <c r="B2" s="5">
        <v>5.3</v>
      </c>
      <c r="C2" s="11">
        <v>1</v>
      </c>
      <c r="D2" s="7">
        <f>C2*B2</f>
        <v>5.3</v>
      </c>
      <c r="E2" s="6" t="s">
        <v>87</v>
      </c>
      <c r="F2" s="8" t="s">
        <v>86</v>
      </c>
      <c r="G2" s="6" t="s">
        <v>44</v>
      </c>
      <c r="H2" s="6" t="s">
        <v>88</v>
      </c>
      <c r="I2" s="1" t="s">
        <v>89</v>
      </c>
      <c r="J2" s="6" t="s">
        <v>21</v>
      </c>
    </row>
    <row r="3" spans="1:10" ht="31.5" x14ac:dyDescent="0.25">
      <c r="A3" s="6" t="s">
        <v>91</v>
      </c>
      <c r="B3" s="5">
        <v>0</v>
      </c>
      <c r="C3" s="11">
        <v>1</v>
      </c>
      <c r="D3" s="7">
        <f>C3*B3</f>
        <v>0</v>
      </c>
      <c r="E3" s="6" t="s">
        <v>93</v>
      </c>
      <c r="F3" s="9" t="s">
        <v>92</v>
      </c>
      <c r="G3" s="6" t="s">
        <v>35</v>
      </c>
      <c r="H3" s="6" t="s">
        <v>36</v>
      </c>
      <c r="I3" s="1" t="s">
        <v>94</v>
      </c>
      <c r="J3" s="6" t="s">
        <v>22</v>
      </c>
    </row>
    <row r="4" spans="1:10" ht="31.5" x14ac:dyDescent="0.25">
      <c r="A4" s="6" t="s">
        <v>95</v>
      </c>
      <c r="B4" s="5">
        <v>3.34</v>
      </c>
      <c r="C4" s="11">
        <v>1</v>
      </c>
      <c r="D4" s="7">
        <f>C4*B4</f>
        <v>3.34</v>
      </c>
      <c r="E4" s="6" t="s">
        <v>96</v>
      </c>
      <c r="F4" s="9" t="s">
        <v>97</v>
      </c>
      <c r="G4" s="6" t="s">
        <v>44</v>
      </c>
      <c r="H4" s="6" t="s">
        <v>99</v>
      </c>
      <c r="I4" s="1" t="s">
        <v>98</v>
      </c>
      <c r="J4" s="6" t="s">
        <v>23</v>
      </c>
    </row>
    <row r="5" spans="1:10" ht="47.25" x14ac:dyDescent="0.25">
      <c r="A5" s="6" t="s">
        <v>102</v>
      </c>
      <c r="B5" s="5">
        <v>0</v>
      </c>
      <c r="C5" s="11">
        <v>1</v>
      </c>
      <c r="D5" s="7">
        <f>C5*B5</f>
        <v>0</v>
      </c>
      <c r="E5" s="6" t="s">
        <v>93</v>
      </c>
      <c r="F5" s="9" t="s">
        <v>101</v>
      </c>
      <c r="G5" s="6" t="s">
        <v>35</v>
      </c>
      <c r="H5" s="6" t="s">
        <v>36</v>
      </c>
      <c r="I5" s="1" t="s">
        <v>100</v>
      </c>
      <c r="J5" s="6" t="s">
        <v>24</v>
      </c>
    </row>
    <row r="6" spans="1:10" x14ac:dyDescent="0.2">
      <c r="A6" s="6" t="s">
        <v>25</v>
      </c>
      <c r="B6" s="5">
        <v>0</v>
      </c>
      <c r="C6" s="11">
        <v>3</v>
      </c>
      <c r="D6" s="7">
        <f>C6*B6</f>
        <v>0</v>
      </c>
      <c r="E6" s="6" t="s">
        <v>34</v>
      </c>
      <c r="F6" s="9" t="s">
        <v>34</v>
      </c>
      <c r="G6" s="6" t="s">
        <v>35</v>
      </c>
      <c r="H6" s="6" t="s">
        <v>36</v>
      </c>
      <c r="I6" s="6" t="s">
        <v>36</v>
      </c>
      <c r="J6" s="6" t="s">
        <v>2</v>
      </c>
    </row>
    <row r="7" spans="1:10" ht="30" x14ac:dyDescent="0.2">
      <c r="A7" s="6" t="s">
        <v>39</v>
      </c>
      <c r="B7" s="5">
        <v>0</v>
      </c>
      <c r="C7" s="11">
        <v>4</v>
      </c>
      <c r="D7" s="7">
        <f t="shared" ref="D7:D9" si="0">C7*B7</f>
        <v>0</v>
      </c>
      <c r="E7" s="6" t="s">
        <v>38</v>
      </c>
      <c r="F7" s="9" t="s">
        <v>34</v>
      </c>
      <c r="G7" s="6" t="s">
        <v>35</v>
      </c>
      <c r="H7" s="6" t="s">
        <v>36</v>
      </c>
      <c r="I7" s="10" t="s">
        <v>37</v>
      </c>
      <c r="J7" s="6" t="s">
        <v>40</v>
      </c>
    </row>
    <row r="8" spans="1:10" ht="45" x14ac:dyDescent="0.2">
      <c r="A8" s="6" t="s">
        <v>41</v>
      </c>
      <c r="B8" s="5">
        <v>0.23</v>
      </c>
      <c r="C8" s="11">
        <v>1</v>
      </c>
      <c r="D8" s="7">
        <f t="shared" si="0"/>
        <v>0.23</v>
      </c>
      <c r="E8" s="6" t="s">
        <v>45</v>
      </c>
      <c r="F8" s="9" t="s">
        <v>42</v>
      </c>
      <c r="G8" s="6" t="s">
        <v>44</v>
      </c>
      <c r="H8" s="6" t="s">
        <v>43</v>
      </c>
      <c r="I8" s="10" t="s">
        <v>4</v>
      </c>
      <c r="J8" s="6" t="s">
        <v>3</v>
      </c>
    </row>
    <row r="9" spans="1:10" x14ac:dyDescent="0.2">
      <c r="A9" s="6" t="s">
        <v>46</v>
      </c>
      <c r="B9" s="5">
        <v>0</v>
      </c>
      <c r="C9" s="11">
        <v>3</v>
      </c>
      <c r="D9" s="7">
        <f t="shared" si="0"/>
        <v>0</v>
      </c>
      <c r="E9" s="6" t="s">
        <v>34</v>
      </c>
      <c r="F9" s="9" t="s">
        <v>34</v>
      </c>
      <c r="G9" s="6" t="s">
        <v>35</v>
      </c>
      <c r="H9" s="6" t="s">
        <v>36</v>
      </c>
      <c r="I9" s="6" t="s">
        <v>36</v>
      </c>
      <c r="J9" s="6" t="s">
        <v>5</v>
      </c>
    </row>
    <row r="10" spans="1:10" ht="45" x14ac:dyDescent="0.2">
      <c r="A10" s="6" t="s">
        <v>54</v>
      </c>
      <c r="B10" s="5">
        <v>0.83</v>
      </c>
      <c r="C10" s="11">
        <v>1</v>
      </c>
      <c r="D10" s="7">
        <f t="shared" ref="D10" si="1">C10*B10</f>
        <v>0.83</v>
      </c>
      <c r="E10" s="6" t="s">
        <v>49</v>
      </c>
      <c r="F10" s="9" t="s">
        <v>53</v>
      </c>
      <c r="G10" s="6"/>
      <c r="H10" s="6" t="s">
        <v>52</v>
      </c>
      <c r="I10" s="10" t="s">
        <v>51</v>
      </c>
      <c r="J10" s="6" t="s">
        <v>6</v>
      </c>
    </row>
    <row r="11" spans="1:10" ht="45" x14ac:dyDescent="0.2">
      <c r="A11" s="6" t="s">
        <v>47</v>
      </c>
      <c r="B11" s="5">
        <v>0.68400000000000005</v>
      </c>
      <c r="C11" s="11">
        <v>1</v>
      </c>
      <c r="D11" s="7">
        <f>C11*B11</f>
        <v>0.68400000000000005</v>
      </c>
      <c r="E11" s="6" t="s">
        <v>49</v>
      </c>
      <c r="F11" s="9" t="s">
        <v>48</v>
      </c>
      <c r="G11" s="6" t="s">
        <v>44</v>
      </c>
      <c r="H11" s="6" t="s">
        <v>50</v>
      </c>
      <c r="I11" s="10" t="s">
        <v>51</v>
      </c>
      <c r="J11" s="6" t="s">
        <v>7</v>
      </c>
    </row>
    <row r="12" spans="1:10" ht="31.5" x14ac:dyDescent="0.25">
      <c r="A12" s="6" t="s">
        <v>78</v>
      </c>
      <c r="B12" s="5">
        <v>0.16</v>
      </c>
      <c r="C12" s="11">
        <v>2</v>
      </c>
      <c r="D12" s="7">
        <f>C12*B12</f>
        <v>0.32</v>
      </c>
      <c r="E12" s="6" t="s">
        <v>49</v>
      </c>
      <c r="F12" s="9" t="s">
        <v>82</v>
      </c>
      <c r="G12" s="6" t="s">
        <v>44</v>
      </c>
      <c r="H12" s="6" t="s">
        <v>83</v>
      </c>
      <c r="I12" s="1" t="s">
        <v>84</v>
      </c>
      <c r="J12" s="6" t="s">
        <v>103</v>
      </c>
    </row>
    <row r="13" spans="1:10" x14ac:dyDescent="0.2">
      <c r="A13" s="6" t="s">
        <v>62</v>
      </c>
      <c r="B13" s="5">
        <v>0</v>
      </c>
      <c r="C13" s="11">
        <v>1</v>
      </c>
      <c r="D13" s="7">
        <f>C13*B13</f>
        <v>0</v>
      </c>
      <c r="E13" s="6" t="s">
        <v>34</v>
      </c>
      <c r="F13" s="9" t="s">
        <v>34</v>
      </c>
      <c r="G13" s="6" t="s">
        <v>35</v>
      </c>
      <c r="H13" s="6" t="s">
        <v>36</v>
      </c>
      <c r="I13" s="6" t="s">
        <v>36</v>
      </c>
      <c r="J13" s="6" t="s">
        <v>8</v>
      </c>
    </row>
    <row r="14" spans="1:10" ht="30" x14ac:dyDescent="0.2">
      <c r="A14" s="6" t="s">
        <v>59</v>
      </c>
      <c r="B14" s="5">
        <v>0.43</v>
      </c>
      <c r="C14" s="11">
        <v>1</v>
      </c>
      <c r="D14" s="7">
        <f>C14*B14</f>
        <v>0.43</v>
      </c>
      <c r="E14" s="6" t="s">
        <v>56</v>
      </c>
      <c r="F14" s="9" t="s">
        <v>55</v>
      </c>
      <c r="G14" s="6" t="s">
        <v>44</v>
      </c>
      <c r="H14" s="6" t="s">
        <v>57</v>
      </c>
      <c r="I14" s="10" t="s">
        <v>58</v>
      </c>
      <c r="J14" s="6" t="s">
        <v>9</v>
      </c>
    </row>
    <row r="15" spans="1:10" x14ac:dyDescent="0.2">
      <c r="A15" s="6" t="s">
        <v>60</v>
      </c>
      <c r="B15" s="5">
        <v>0</v>
      </c>
      <c r="C15" s="11">
        <v>1</v>
      </c>
      <c r="D15" s="7">
        <f>C15*B15</f>
        <v>0</v>
      </c>
      <c r="E15" s="6" t="s">
        <v>34</v>
      </c>
      <c r="F15" s="9" t="s">
        <v>34</v>
      </c>
      <c r="G15" s="6" t="s">
        <v>35</v>
      </c>
      <c r="H15" s="6" t="s">
        <v>36</v>
      </c>
      <c r="I15" s="6" t="s">
        <v>36</v>
      </c>
      <c r="J15" s="6" t="s">
        <v>10</v>
      </c>
    </row>
    <row r="16" spans="1:10" x14ac:dyDescent="0.2">
      <c r="A16" s="6" t="s">
        <v>61</v>
      </c>
      <c r="B16" s="5">
        <v>0</v>
      </c>
      <c r="C16" s="11">
        <v>2</v>
      </c>
      <c r="D16" s="7">
        <f>C16*B16</f>
        <v>0</v>
      </c>
      <c r="E16" s="6" t="s">
        <v>34</v>
      </c>
      <c r="F16" s="9" t="s">
        <v>34</v>
      </c>
      <c r="G16" s="6" t="s">
        <v>35</v>
      </c>
      <c r="H16" s="6" t="s">
        <v>36</v>
      </c>
      <c r="I16" s="6" t="s">
        <v>36</v>
      </c>
      <c r="J16" s="6" t="s">
        <v>11</v>
      </c>
    </row>
    <row r="17" spans="1:10" ht="30" x14ac:dyDescent="0.2">
      <c r="A17" s="6" t="s">
        <v>63</v>
      </c>
      <c r="B17" s="5">
        <v>0</v>
      </c>
      <c r="C17" s="11">
        <v>1</v>
      </c>
      <c r="D17" s="7">
        <f>C17*B17</f>
        <v>0</v>
      </c>
      <c r="E17" s="6" t="s">
        <v>64</v>
      </c>
      <c r="F17" s="9">
        <v>702460801</v>
      </c>
      <c r="G17" s="6" t="s">
        <v>35</v>
      </c>
      <c r="H17" s="6" t="s">
        <v>36</v>
      </c>
      <c r="I17" s="10" t="s">
        <v>13</v>
      </c>
      <c r="J17" s="6" t="s">
        <v>12</v>
      </c>
    </row>
    <row r="18" spans="1:10" x14ac:dyDescent="0.2">
      <c r="A18" s="6" t="s">
        <v>65</v>
      </c>
      <c r="B18" s="5">
        <v>0</v>
      </c>
      <c r="C18" s="11">
        <v>1</v>
      </c>
      <c r="D18" s="7">
        <f>C18*B18</f>
        <v>0</v>
      </c>
      <c r="E18" s="6" t="s">
        <v>34</v>
      </c>
      <c r="F18" s="9" t="s">
        <v>34</v>
      </c>
      <c r="G18" s="6" t="s">
        <v>35</v>
      </c>
      <c r="H18" s="6" t="s">
        <v>36</v>
      </c>
      <c r="I18" s="6" t="s">
        <v>36</v>
      </c>
      <c r="J18" s="6" t="s">
        <v>14</v>
      </c>
    </row>
    <row r="19" spans="1:10" x14ac:dyDescent="0.2">
      <c r="A19" s="6" t="s">
        <v>70</v>
      </c>
      <c r="B19" s="5">
        <v>0</v>
      </c>
      <c r="C19" s="11">
        <v>6</v>
      </c>
      <c r="D19" s="7">
        <f>C19*B19</f>
        <v>0</v>
      </c>
      <c r="E19" s="6" t="s">
        <v>34</v>
      </c>
      <c r="F19" s="9" t="s">
        <v>34</v>
      </c>
      <c r="G19" s="6" t="s">
        <v>66</v>
      </c>
      <c r="H19" s="6" t="s">
        <v>36</v>
      </c>
      <c r="I19" s="6" t="s">
        <v>36</v>
      </c>
      <c r="J19" s="6" t="s">
        <v>15</v>
      </c>
    </row>
    <row r="20" spans="1:10" x14ac:dyDescent="0.2">
      <c r="A20" s="6" t="s">
        <v>69</v>
      </c>
      <c r="B20" s="5">
        <v>0</v>
      </c>
      <c r="C20" s="11">
        <v>1</v>
      </c>
      <c r="D20" s="7">
        <f>C20*B20</f>
        <v>0</v>
      </c>
      <c r="E20" s="6" t="s">
        <v>34</v>
      </c>
      <c r="F20" s="9" t="s">
        <v>34</v>
      </c>
      <c r="G20" s="6" t="s">
        <v>67</v>
      </c>
      <c r="H20" s="6" t="s">
        <v>36</v>
      </c>
      <c r="I20" s="6" t="s">
        <v>36</v>
      </c>
      <c r="J20" s="6" t="s">
        <v>16</v>
      </c>
    </row>
    <row r="21" spans="1:10" x14ac:dyDescent="0.2">
      <c r="A21" s="6" t="s">
        <v>71</v>
      </c>
      <c r="B21" s="5">
        <v>0</v>
      </c>
      <c r="C21" s="11">
        <v>1</v>
      </c>
      <c r="D21" s="7">
        <f>C21*B21</f>
        <v>0</v>
      </c>
      <c r="E21" s="6" t="s">
        <v>34</v>
      </c>
      <c r="F21" s="9" t="s">
        <v>34</v>
      </c>
      <c r="G21" s="6" t="s">
        <v>68</v>
      </c>
      <c r="H21" s="6" t="s">
        <v>36</v>
      </c>
      <c r="I21" s="6" t="s">
        <v>36</v>
      </c>
      <c r="J21" s="6" t="s">
        <v>17</v>
      </c>
    </row>
    <row r="22" spans="1:10" ht="30" x14ac:dyDescent="0.2">
      <c r="A22" s="6" t="s">
        <v>76</v>
      </c>
      <c r="B22" s="5">
        <v>0</v>
      </c>
      <c r="C22" s="11">
        <v>1</v>
      </c>
      <c r="D22" s="7">
        <f>C22*B22</f>
        <v>0</v>
      </c>
      <c r="E22" s="6" t="s">
        <v>75</v>
      </c>
      <c r="F22" s="9" t="s">
        <v>72</v>
      </c>
      <c r="G22" s="6" t="s">
        <v>44</v>
      </c>
      <c r="H22" s="6" t="s">
        <v>73</v>
      </c>
      <c r="I22" s="10" t="s">
        <v>74</v>
      </c>
      <c r="J22" s="6" t="s">
        <v>18</v>
      </c>
    </row>
    <row r="23" spans="1:10" x14ac:dyDescent="0.2">
      <c r="A23" s="6" t="s">
        <v>77</v>
      </c>
      <c r="B23" s="5">
        <v>0</v>
      </c>
      <c r="C23" s="11">
        <v>1</v>
      </c>
      <c r="D23" s="7">
        <f>C23*B23</f>
        <v>0</v>
      </c>
      <c r="E23" s="6" t="s">
        <v>34</v>
      </c>
      <c r="F23" s="9" t="s">
        <v>34</v>
      </c>
      <c r="G23" s="6" t="s">
        <v>35</v>
      </c>
      <c r="H23" s="6" t="s">
        <v>36</v>
      </c>
      <c r="I23" s="6" t="s">
        <v>36</v>
      </c>
      <c r="J23" s="6" t="s">
        <v>19</v>
      </c>
    </row>
    <row r="24" spans="1:10" ht="30.75" x14ac:dyDescent="0.25">
      <c r="A24" s="6" t="s">
        <v>79</v>
      </c>
      <c r="B24" s="5">
        <v>0.23</v>
      </c>
      <c r="C24" s="11">
        <v>2</v>
      </c>
      <c r="D24" s="7">
        <f>C24*B24</f>
        <v>0.46</v>
      </c>
      <c r="E24" s="6" t="s">
        <v>81</v>
      </c>
      <c r="F24" s="9">
        <v>1040</v>
      </c>
      <c r="G24" s="6" t="s">
        <v>44</v>
      </c>
      <c r="H24" s="6" t="s">
        <v>80</v>
      </c>
      <c r="I24" s="1" t="s">
        <v>90</v>
      </c>
      <c r="J24" s="6" t="s">
        <v>20</v>
      </c>
    </row>
  </sheetData>
  <phoneticPr fontId="19" type="noConversion"/>
  <hyperlinks>
    <hyperlink ref="I17" r:id="rId1" xr:uid="{AE8C1A3F-78A7-43D7-8C6E-B96046A9EF21}"/>
    <hyperlink ref="I22" r:id="rId2" xr:uid="{A267BACE-9979-4C73-806F-33911D4BC55A}"/>
    <hyperlink ref="I14" r:id="rId3" xr:uid="{E5F0632C-00CF-4855-A41C-E27CB55F05C9}"/>
    <hyperlink ref="I11" r:id="rId4" xr:uid="{7B88B6BF-25C4-4B3D-941E-5A6C2ACF4138}"/>
    <hyperlink ref="I10" r:id="rId5" xr:uid="{B94A909C-62E9-4F43-B1FF-F93AD2538DD9}"/>
    <hyperlink ref="I8" r:id="rId6" xr:uid="{5F5F87BC-F5E4-408A-BB9C-5C2A91871299}"/>
    <hyperlink ref="I7" r:id="rId7" xr:uid="{F2E28DB4-FE06-4EE8-99BC-E0637E5605E4}"/>
    <hyperlink ref="I12" r:id="rId8" xr:uid="{DAA1BC50-EB89-4336-A966-8E5D4BED19B6}"/>
    <hyperlink ref="I5" r:id="rId9" xr:uid="{6D49C7E5-D67B-46DA-AA82-CEA01BE18482}"/>
    <hyperlink ref="I4" r:id="rId10" xr:uid="{7347E0C7-2886-4A16-8E0E-95DF4826C8A4}"/>
    <hyperlink ref="I3" r:id="rId11" xr:uid="{530B6BDE-0812-461A-99FF-BB7665B35F65}"/>
    <hyperlink ref="I2" r:id="rId12" xr:uid="{1D6493E4-60C1-44C4-843B-2D7DD070B3D2}"/>
    <hyperlink ref="I24" r:id="rId13" xr:uid="{29C50CE4-A3FC-4B76-9546-936301DC5052}"/>
  </hyperlinks>
  <pageMargins left="0.7" right="0.7" top="0.75" bottom="0.75" header="0.3" footer="0.3"/>
  <pageSetup scale="38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sparkguard_power_monitor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bmbis</dc:creator>
  <cp:lastModifiedBy>Armando Botiller (Student)</cp:lastModifiedBy>
  <cp:lastPrinted>2025-12-09T05:32:27Z</cp:lastPrinted>
  <dcterms:created xsi:type="dcterms:W3CDTF">2025-12-09T04:18:44Z</dcterms:created>
  <dcterms:modified xsi:type="dcterms:W3CDTF">2025-12-09T05:32:46Z</dcterms:modified>
</cp:coreProperties>
</file>