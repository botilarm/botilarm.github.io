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sp26\egr314\botilarm.github.io\docs\03-Component-Selection\"/>
    </mc:Choice>
  </mc:AlternateContent>
  <xr:revisionPtr revIDLastSave="0" documentId="13_ncr:1_{B16BF281-35FE-4EBE-9B7A-AC149C5FB90D}" xr6:coauthVersionLast="47" xr6:coauthVersionMax="47" xr10:uidLastSave="{00000000-0000-0000-0000-000000000000}"/>
  <bookViews>
    <workbookView xWindow="750" yWindow="-120" windowWidth="28170" windowHeight="1644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53" i="1"/>
  <c r="G52" i="1"/>
  <c r="G50" i="1"/>
  <c r="G42" i="1"/>
  <c r="G46" i="1"/>
  <c r="G45" i="1"/>
  <c r="G44" i="1"/>
  <c r="G55" i="1" l="1"/>
  <c r="G47" i="1"/>
  <c r="G39" i="1"/>
  <c r="G34" i="1"/>
  <c r="G33" i="1"/>
  <c r="G30" i="1"/>
  <c r="G24" i="1"/>
  <c r="G26" i="1" s="1"/>
  <c r="G28" i="1" s="1"/>
  <c r="G16" i="1"/>
  <c r="G12" i="1"/>
  <c r="G11" i="1"/>
  <c r="G10" i="1"/>
  <c r="G9" i="1"/>
  <c r="G8" i="1"/>
  <c r="G17" i="1" l="1"/>
  <c r="G19" i="1" s="1"/>
  <c r="G31" i="1"/>
  <c r="G35" i="1"/>
  <c r="G37" i="1" s="1"/>
  <c r="G40" i="1" s="1"/>
  <c r="G58" i="1"/>
  <c r="G59" i="1" s="1"/>
  <c r="F21" i="1" l="1"/>
  <c r="G21" i="1" s="1"/>
  <c r="G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<sst xmlns="http://schemas.openxmlformats.org/spreadsheetml/2006/main" count="186" uniqueCount="81">
  <si>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</si>
  <si>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</si>
  <si>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</si>
  <si>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</si>
  <si>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</si>
  <si>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</si>
  <si>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</si>
  <si>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</si>
  <si>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</si>
  <si>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</si>
  <si>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</si>
  <si>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</si>
  <si>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</si>
  <si>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</si>
  <si>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>Stepper motor</t>
  </si>
  <si>
    <t xml:space="preserve"> +12V Power Rail</t>
  </si>
  <si>
    <t xml:space="preserve">Subtotal </t>
  </si>
  <si>
    <t>Safety Margin</t>
  </si>
  <si>
    <t>Total Current Required on +12V Rail</t>
  </si>
  <si>
    <t>c1. Regulator or Source Choice</t>
  </si>
  <si>
    <t>Total Remaining Current Available on +12V Rail</t>
  </si>
  <si>
    <t xml:space="preserve"> +5V Power Rail</t>
  </si>
  <si>
    <t>Total Current Required on +5V Rail</t>
  </si>
  <si>
    <t>c2. Regulator or Source Choice</t>
  </si>
  <si>
    <t>Total Remaining Current Available on +5V Rail</t>
  </si>
  <si>
    <t>c3. Regulator or Source Choice</t>
  </si>
  <si>
    <t xml:space="preserve"> +3.3V Power Rail</t>
  </si>
  <si>
    <t>Total Current Required on +3.3V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</si>
  <si>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</si>
  <si>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</si>
  <si>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</si>
  <si>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</si>
  <si>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</si>
  <si>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Power Source 2</t>
  </si>
  <si>
    <t>Power Source 2 Selection</t>
  </si>
  <si>
    <t>Battery</t>
  </si>
  <si>
    <t>Power Rails Connected to External Power Source 2</t>
  </si>
  <si>
    <t>Total Remaining Current Available on External Power Source 2</t>
  </si>
  <si>
    <t>Capacity
(mAh)</t>
  </si>
  <si>
    <t>Required
By
Regulators</t>
  </si>
  <si>
    <t xml:space="preserve"> +12V</t>
  </si>
  <si>
    <t>Battery Life</t>
  </si>
  <si>
    <t>hours</t>
  </si>
  <si>
    <t>Sable</t>
  </si>
  <si>
    <t>Lea, Vedaa, Khalid, Matthew, Manuel, Armando</t>
  </si>
  <si>
    <t>SER0039</t>
  </si>
  <si>
    <t xml:space="preserve">9G RC Servo </t>
  </si>
  <si>
    <t>0-5V</t>
  </si>
  <si>
    <t>Stepper motor driver</t>
  </si>
  <si>
    <t>LTST-M670TBKT</t>
  </si>
  <si>
    <t>LED</t>
  </si>
  <si>
    <t>ESP32-S3-WROOM-1</t>
  </si>
  <si>
    <t>ESP32 Microcontroller</t>
  </si>
  <si>
    <t xml:space="preserve"> +12V Battery</t>
  </si>
  <si>
    <t>N/A</t>
  </si>
  <si>
    <t>AP1509-50SG-13</t>
  </si>
  <si>
    <t xml:space="preserve"> +5V Buck Converter</t>
  </si>
  <si>
    <t>LM2575-3.3WU-TR</t>
  </si>
  <si>
    <t>+3.3V Buck Converter</t>
  </si>
  <si>
    <t>+2.7-3.6V</t>
  </si>
  <si>
    <t>+3-5.25V</t>
  </si>
  <si>
    <t>+12V</t>
  </si>
  <si>
    <t>+0-3.3V</t>
  </si>
  <si>
    <t>+0-5V</t>
  </si>
  <si>
    <t>+4-40V</t>
  </si>
  <si>
    <t>+4.5-22V</t>
  </si>
  <si>
    <t>Total Remaining Current Available on +3.3V Rail</t>
  </si>
  <si>
    <t>Sable Arm Power Budget</t>
  </si>
  <si>
    <t>90-264 VAC</t>
  </si>
  <si>
    <t>9V</t>
  </si>
  <si>
    <t>+12V Power Rail</t>
  </si>
  <si>
    <t xml:space="preserve"> +3.3V Buck converter</t>
  </si>
  <si>
    <t>+3.3V</t>
  </si>
  <si>
    <t>+5V</t>
  </si>
  <si>
    <t>+9V 5A Wall Power Supply</t>
  </si>
  <si>
    <t>LM2592HVS-5.0</t>
  </si>
  <si>
    <t>+0-57V</t>
  </si>
  <si>
    <t>TMC2209-LA-T</t>
  </si>
  <si>
    <t>+4.8V - 5.25V</t>
  </si>
  <si>
    <t>FIT0278</t>
  </si>
  <si>
    <t>+3.4V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</si>
</sst>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name val="Arial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2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5" fillId="0" borderId="6" xfId="0" applyFont="1" applyBorder="1"/>
    <xf numFmtId="0" fontId="5" fillId="0" borderId="0" xfId="0" applyFont="1"/>
    <xf numFmtId="0" fontId="1" fillId="0" borderId="5" xfId="0" applyFont="1" applyBorder="1"/>
    <xf numFmtId="0" fontId="3" fillId="0" borderId="0" xfId="0" applyFont="1" applyAlignment="1">
      <alignment horizontal="center"/>
    </xf>
    <xf numFmtId="0" fontId="1" fillId="0" borderId="6" xfId="0" applyFont="1" applyBorder="1"/>
    <xf numFmtId="0" fontId="4" fillId="2" borderId="7" xfId="0" applyFont="1" applyFill="1" applyBorder="1"/>
    <xf numFmtId="0" fontId="6" fillId="0" borderId="0" xfId="0" applyFont="1" applyAlignment="1">
      <alignment horizontal="right"/>
    </xf>
    <xf numFmtId="9" fontId="0" fillId="0" borderId="6" xfId="0" applyNumberFormat="1" applyBorder="1"/>
    <xf numFmtId="0" fontId="6" fillId="0" borderId="5" xfId="0" applyFont="1" applyBorder="1"/>
    <xf numFmtId="0" fontId="4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6" xfId="0" applyBorder="1" applyAlignment="1">
      <alignment horizontal="right"/>
    </xf>
    <xf numFmtId="0" fontId="4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/>
    </xf>
    <xf numFmtId="0" fontId="5" fillId="0" borderId="6" xfId="0" applyFont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5" fillId="0" borderId="10" xfId="0" applyFont="1" applyBorder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0" xfId="0" applyFont="1"/>
    <xf numFmtId="0" fontId="0" fillId="0" borderId="6" xfId="0" applyBorder="1" applyAlignment="1">
      <alignment horizontal="center"/>
    </xf>
    <xf numFmtId="0" fontId="1" fillId="2" borderId="5" xfId="0" applyFont="1" applyFill="1" applyBorder="1"/>
    <xf numFmtId="0" fontId="1" fillId="2" borderId="11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6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center"/>
    </xf>
    <xf numFmtId="0" fontId="9" fillId="0" borderId="0" xfId="0" quotePrefix="1" applyFont="1" applyAlignment="1">
      <alignment horizontal="left"/>
    </xf>
    <xf numFmtId="49" fontId="9" fillId="0" borderId="0" xfId="0" quotePrefix="1" applyNumberFormat="1" applyFont="1" applyAlignment="1">
      <alignment horizontal="center"/>
    </xf>
    <xf numFmtId="0" fontId="5" fillId="0" borderId="0" xfId="0" quotePrefix="1" applyFont="1" applyAlignment="1">
      <alignment horizontal="left"/>
    </xf>
    <xf numFmtId="0" fontId="5" fillId="0" borderId="0" xfId="0" quotePrefix="1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right"/>
    </xf>
    <xf numFmtId="0" fontId="0" fillId="0" borderId="0" xfId="0" quotePrefix="1" applyAlignment="1">
      <alignment horizontal="center"/>
    </xf>
    <xf numFmtId="49" fontId="4" fillId="0" borderId="0" xfId="0" applyNumberFormat="1" applyFont="1" applyAlignment="1">
      <alignment horizontal="right"/>
    </xf>
    <xf numFmtId="0" fontId="0" fillId="0" borderId="0" xfId="0"/>
    <xf numFmtId="0" fontId="10" fillId="0" borderId="0" xfId="0" applyFont="1" applyAlignment="1">
      <alignment horizontal="right"/>
    </xf>
    <xf numFmtId="49" fontId="10" fillId="0" borderId="9" xfId="0" applyNumberFormat="1" applyFont="1" applyBorder="1" applyAlignment="1">
      <alignment horizontal="right"/>
    </xf>
    <xf numFmtId="0" fontId="2" fillId="0" borderId="9" xfId="0" applyFont="1" applyBorder="1"/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/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3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49" fontId="4" fillId="0" borderId="9" xfId="0" applyNumberFormat="1" applyFont="1" applyBorder="1" applyAlignment="1">
      <alignment horizontal="right"/>
    </xf>
    <xf numFmtId="0" fontId="8" fillId="0" borderId="0" xfId="0" quotePrefix="1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tabSelected="1" topLeftCell="B10" zoomScaleNormal="100" workbookViewId="0">
      <selection activeCell="G35" sqref="G35"/>
    </sheetView>
  </sheetViews>
  <sheetFormatPr defaultColWidth="13.5" defaultRowHeight="15.75" customHeight="1" x14ac:dyDescent="0.25"/>
  <cols>
    <col min="1" max="1" width="33" customWidth="1"/>
    <col min="2" max="2" width="33.625" customWidth="1"/>
    <col min="3" max="3" width="22.375" customWidth="1"/>
    <col min="4" max="4" width="30.75" customWidth="1"/>
    <col min="5" max="5" width="23" customWidth="1"/>
    <col min="6" max="6" width="38.125" customWidth="1"/>
    <col min="7" max="7" width="31.75" customWidth="1"/>
    <col min="8" max="8" width="9" customWidth="1"/>
  </cols>
  <sheetData>
    <row r="1" spans="1:8" ht="30" customHeight="1" x14ac:dyDescent="0.5">
      <c r="A1" s="71" t="s">
        <v>67</v>
      </c>
      <c r="B1" s="63"/>
      <c r="C1" s="63"/>
      <c r="D1" s="63"/>
      <c r="E1" s="63"/>
      <c r="F1" s="63"/>
      <c r="G1" s="63"/>
      <c r="H1" s="63"/>
    </row>
    <row r="2" spans="1:8" ht="15" customHeight="1" x14ac:dyDescent="0.25">
      <c r="A2" s="1" t="s">
        <v>0</v>
      </c>
      <c r="B2" s="47">
        <v>303</v>
      </c>
      <c r="D2" s="2"/>
      <c r="E2" s="2"/>
    </row>
    <row r="3" spans="1:8" ht="15" customHeight="1" x14ac:dyDescent="0.25">
      <c r="A3" s="3" t="s">
        <v>1</v>
      </c>
      <c r="B3" s="1" t="s">
        <v>43</v>
      </c>
      <c r="C3" s="4"/>
      <c r="D3" s="2"/>
      <c r="E3" s="2"/>
      <c r="F3" s="4"/>
      <c r="G3" s="4"/>
      <c r="H3" s="4"/>
    </row>
    <row r="4" spans="1:8" ht="54" customHeight="1" x14ac:dyDescent="0.25">
      <c r="A4" s="46" t="s">
        <v>2</v>
      </c>
      <c r="B4" s="45" t="s">
        <v>44</v>
      </c>
      <c r="C4" s="4"/>
      <c r="D4" s="2"/>
      <c r="E4" s="2"/>
      <c r="F4" s="4"/>
      <c r="G4" s="4"/>
      <c r="H4" s="4"/>
    </row>
    <row r="5" spans="1:8" ht="15" customHeight="1" x14ac:dyDescent="0.25">
      <c r="A5" s="3" t="s">
        <v>3</v>
      </c>
      <c r="B5" s="48">
        <v>1</v>
      </c>
      <c r="C5" s="4"/>
      <c r="D5" s="2"/>
      <c r="E5" s="2"/>
      <c r="F5" s="4"/>
      <c r="G5" s="4"/>
      <c r="H5" s="4"/>
    </row>
    <row r="6" spans="1:8" ht="15" customHeight="1" x14ac:dyDescent="0.25">
      <c r="A6" s="5"/>
      <c r="B6" s="4"/>
      <c r="C6" s="4"/>
      <c r="D6" s="2"/>
      <c r="E6" s="2"/>
      <c r="F6" s="4"/>
      <c r="G6" s="4"/>
      <c r="H6" s="4"/>
    </row>
    <row r="7" spans="1:8" ht="15" customHeight="1" x14ac:dyDescent="0.25">
      <c r="A7" s="73" t="s">
        <v>4</v>
      </c>
      <c r="B7" s="6" t="s">
        <v>5</v>
      </c>
      <c r="C7" s="6" t="s">
        <v>6</v>
      </c>
      <c r="D7" s="7" t="s">
        <v>7</v>
      </c>
      <c r="E7" s="7" t="s">
        <v>8</v>
      </c>
      <c r="F7" s="8" t="s">
        <v>9</v>
      </c>
      <c r="G7" s="9" t="s">
        <v>10</v>
      </c>
      <c r="H7" s="9" t="s">
        <v>11</v>
      </c>
    </row>
    <row r="8" spans="1:8" ht="15" customHeight="1" x14ac:dyDescent="0.25">
      <c r="A8" s="73"/>
      <c r="B8" s="52" t="s">
        <v>46</v>
      </c>
      <c r="C8" s="52" t="s">
        <v>45</v>
      </c>
      <c r="D8" s="54" t="s">
        <v>63</v>
      </c>
      <c r="E8" s="49">
        <v>3</v>
      </c>
      <c r="F8" s="52">
        <v>300</v>
      </c>
      <c r="G8" s="51">
        <f t="shared" ref="G8:G12" si="0">E8*F8</f>
        <v>900</v>
      </c>
      <c r="H8" s="51" t="s">
        <v>13</v>
      </c>
    </row>
    <row r="9" spans="1:8" ht="15" customHeight="1" x14ac:dyDescent="0.25">
      <c r="A9" s="73"/>
      <c r="B9" s="52" t="s">
        <v>14</v>
      </c>
      <c r="C9" s="52" t="s">
        <v>79</v>
      </c>
      <c r="D9" s="54" t="s">
        <v>80</v>
      </c>
      <c r="E9" s="49">
        <v>1</v>
      </c>
      <c r="F9" s="52">
        <v>1700</v>
      </c>
      <c r="G9" s="51">
        <f t="shared" si="0"/>
        <v>1700</v>
      </c>
      <c r="H9" s="51" t="s">
        <v>13</v>
      </c>
    </row>
    <row r="10" spans="1:8" ht="15" customHeight="1" x14ac:dyDescent="0.25">
      <c r="A10" s="73"/>
      <c r="B10" s="52" t="s">
        <v>48</v>
      </c>
      <c r="C10" s="52" t="s">
        <v>77</v>
      </c>
      <c r="D10" s="54" t="s">
        <v>60</v>
      </c>
      <c r="E10" s="49">
        <v>1</v>
      </c>
      <c r="F10" s="52">
        <v>12</v>
      </c>
      <c r="G10" s="51">
        <f t="shared" si="0"/>
        <v>12</v>
      </c>
      <c r="H10" s="51" t="s">
        <v>13</v>
      </c>
    </row>
    <row r="11" spans="1:8" ht="15" customHeight="1" x14ac:dyDescent="0.25">
      <c r="A11" s="73"/>
      <c r="B11" s="52" t="s">
        <v>50</v>
      </c>
      <c r="C11" s="52" t="s">
        <v>49</v>
      </c>
      <c r="D11" s="56" t="s">
        <v>62</v>
      </c>
      <c r="E11" s="49">
        <v>5</v>
      </c>
      <c r="F11" s="52">
        <v>20</v>
      </c>
      <c r="G11" s="51">
        <f t="shared" si="0"/>
        <v>100</v>
      </c>
      <c r="H11" s="51" t="s">
        <v>13</v>
      </c>
    </row>
    <row r="12" spans="1:8" ht="15" customHeight="1" x14ac:dyDescent="0.25">
      <c r="A12" s="73"/>
      <c r="B12" s="52" t="s">
        <v>52</v>
      </c>
      <c r="C12" s="52" t="s">
        <v>51</v>
      </c>
      <c r="D12" s="54" t="s">
        <v>59</v>
      </c>
      <c r="E12" s="49">
        <v>1</v>
      </c>
      <c r="F12" s="52">
        <v>355</v>
      </c>
      <c r="G12" s="51">
        <f t="shared" si="0"/>
        <v>355</v>
      </c>
      <c r="H12" s="51" t="s">
        <v>13</v>
      </c>
    </row>
    <row r="13" spans="1:8" ht="15" customHeight="1" x14ac:dyDescent="0.25">
      <c r="A13" s="10"/>
      <c r="B13" s="15"/>
      <c r="D13" s="11"/>
      <c r="E13" s="12"/>
      <c r="G13" s="13"/>
      <c r="H13" s="14"/>
    </row>
    <row r="14" spans="1:8" ht="15" customHeight="1" x14ac:dyDescent="0.25">
      <c r="A14" s="16"/>
      <c r="B14" s="5"/>
      <c r="C14" s="4"/>
      <c r="D14" s="17"/>
      <c r="E14" s="2"/>
      <c r="F14" s="4"/>
      <c r="G14" s="18"/>
      <c r="H14" s="18"/>
    </row>
    <row r="15" spans="1:8" ht="15" customHeight="1" x14ac:dyDescent="0.25">
      <c r="A15" s="74" t="s">
        <v>15</v>
      </c>
      <c r="B15" s="6" t="s">
        <v>5</v>
      </c>
      <c r="C15" s="6" t="s">
        <v>6</v>
      </c>
      <c r="D15" s="7" t="s">
        <v>7</v>
      </c>
      <c r="E15" s="7" t="s">
        <v>8</v>
      </c>
      <c r="F15" s="8" t="s">
        <v>9</v>
      </c>
      <c r="G15" s="9" t="s">
        <v>10</v>
      </c>
      <c r="H15" s="9" t="s">
        <v>11</v>
      </c>
    </row>
    <row r="16" spans="1:8" ht="15" customHeight="1" x14ac:dyDescent="0.25">
      <c r="A16" s="74"/>
      <c r="B16" t="s">
        <v>14</v>
      </c>
      <c r="C16" s="52" t="s">
        <v>79</v>
      </c>
      <c r="D16" s="54" t="s">
        <v>80</v>
      </c>
      <c r="E16" s="12">
        <v>1</v>
      </c>
      <c r="F16">
        <v>1700</v>
      </c>
      <c r="G16" s="13">
        <f t="shared" ref="G16" si="1">E16*F16</f>
        <v>1700</v>
      </c>
      <c r="H16" s="14" t="s">
        <v>13</v>
      </c>
    </row>
    <row r="17" spans="1:8" ht="15" customHeight="1" x14ac:dyDescent="0.25">
      <c r="A17" s="74"/>
      <c r="B17" s="72" t="s">
        <v>16</v>
      </c>
      <c r="C17" s="63"/>
      <c r="D17" s="63"/>
      <c r="E17" s="63"/>
      <c r="F17" s="63"/>
      <c r="G17" s="13">
        <f>SUM(G16:G16)</f>
        <v>1700</v>
      </c>
      <c r="H17" s="14" t="s">
        <v>13</v>
      </c>
    </row>
    <row r="18" spans="1:8" ht="15" customHeight="1" x14ac:dyDescent="0.25">
      <c r="A18" s="74"/>
      <c r="B18" s="72" t="s">
        <v>17</v>
      </c>
      <c r="C18" s="63"/>
      <c r="D18" s="63"/>
      <c r="E18" s="63"/>
      <c r="F18" s="63"/>
      <c r="G18" s="21">
        <v>0.25</v>
      </c>
      <c r="H18" s="21"/>
    </row>
    <row r="19" spans="1:8" ht="15" customHeight="1" x14ac:dyDescent="0.25">
      <c r="A19" s="22"/>
      <c r="B19" s="75" t="s">
        <v>18</v>
      </c>
      <c r="C19" s="63"/>
      <c r="D19" s="63"/>
      <c r="E19" s="63"/>
      <c r="F19" s="63"/>
      <c r="G19" s="13">
        <f>G17*(1+G18)</f>
        <v>2125</v>
      </c>
      <c r="H19" s="14" t="s">
        <v>13</v>
      </c>
    </row>
    <row r="20" spans="1:8" ht="15" customHeight="1" x14ac:dyDescent="0.25">
      <c r="A20" s="23"/>
      <c r="B20" s="24"/>
      <c r="C20" s="24"/>
      <c r="D20" s="11"/>
      <c r="E20" s="11"/>
      <c r="F20" s="25"/>
      <c r="G20" s="26"/>
      <c r="H20" s="13"/>
    </row>
    <row r="21" spans="1:8" ht="15" customHeight="1" x14ac:dyDescent="0.25">
      <c r="A21" s="23" t="s">
        <v>19</v>
      </c>
      <c r="B21" s="53" t="s">
        <v>53</v>
      </c>
      <c r="C21" s="24"/>
      <c r="D21" s="49" t="s">
        <v>54</v>
      </c>
      <c r="E21" s="11">
        <v>1</v>
      </c>
      <c r="F21" s="25">
        <f>G19</f>
        <v>2125</v>
      </c>
      <c r="G21" s="26">
        <f>E21*F21</f>
        <v>2125</v>
      </c>
      <c r="H21" s="14" t="s">
        <v>13</v>
      </c>
    </row>
    <row r="22" spans="1:8" ht="15" customHeight="1" x14ac:dyDescent="0.25">
      <c r="A22" s="23"/>
      <c r="B22" s="76" t="s">
        <v>20</v>
      </c>
      <c r="C22" s="66"/>
      <c r="D22" s="66"/>
      <c r="E22" s="66"/>
      <c r="F22" s="66"/>
      <c r="G22" s="26">
        <f>G21-G19</f>
        <v>0</v>
      </c>
      <c r="H22" s="14" t="s">
        <v>13</v>
      </c>
    </row>
    <row r="23" spans="1:8" ht="15" customHeight="1" x14ac:dyDescent="0.25">
      <c r="A23" s="69" t="s">
        <v>21</v>
      </c>
      <c r="B23" s="6" t="s">
        <v>5</v>
      </c>
      <c r="C23" s="6" t="s">
        <v>6</v>
      </c>
      <c r="D23" s="7" t="s">
        <v>7</v>
      </c>
      <c r="E23" s="7" t="s">
        <v>8</v>
      </c>
      <c r="F23" s="8" t="s">
        <v>9</v>
      </c>
      <c r="G23" s="28" t="s">
        <v>10</v>
      </c>
      <c r="H23" s="28" t="s">
        <v>11</v>
      </c>
    </row>
    <row r="24" spans="1:8" ht="15" customHeight="1" x14ac:dyDescent="0.25">
      <c r="A24" s="70"/>
      <c r="B24" s="52" t="s">
        <v>46</v>
      </c>
      <c r="C24" s="52" t="s">
        <v>45</v>
      </c>
      <c r="D24" s="50" t="s">
        <v>47</v>
      </c>
      <c r="E24" s="12">
        <v>3</v>
      </c>
      <c r="F24">
        <v>300</v>
      </c>
      <c r="G24" s="13">
        <f t="shared" ref="G24" si="2">E24*F24</f>
        <v>900</v>
      </c>
      <c r="H24" s="14" t="s">
        <v>13</v>
      </c>
    </row>
    <row r="25" spans="1:8" ht="15" customHeight="1" x14ac:dyDescent="0.25">
      <c r="A25" s="70"/>
      <c r="B25" s="52"/>
      <c r="C25" s="52" t="s">
        <v>77</v>
      </c>
      <c r="D25" s="77" t="s">
        <v>78</v>
      </c>
      <c r="E25" s="12">
        <v>1</v>
      </c>
      <c r="F25">
        <v>25</v>
      </c>
      <c r="G25" s="13">
        <v>25</v>
      </c>
      <c r="H25" s="14" t="s">
        <v>13</v>
      </c>
    </row>
    <row r="26" spans="1:8" ht="15" customHeight="1" x14ac:dyDescent="0.25">
      <c r="A26" s="70"/>
      <c r="B26" s="72" t="s">
        <v>16</v>
      </c>
      <c r="C26" s="63"/>
      <c r="D26" s="63"/>
      <c r="E26" s="63"/>
      <c r="F26" s="63"/>
      <c r="G26" s="13">
        <f>SUM(G24:G25)</f>
        <v>925</v>
      </c>
      <c r="H26" s="14" t="s">
        <v>13</v>
      </c>
    </row>
    <row r="27" spans="1:8" ht="15" customHeight="1" x14ac:dyDescent="0.25">
      <c r="A27" s="70"/>
      <c r="B27" s="72" t="s">
        <v>17</v>
      </c>
      <c r="C27" s="63"/>
      <c r="D27" s="63"/>
      <c r="E27" s="63"/>
      <c r="F27" s="63"/>
      <c r="G27" s="21">
        <v>0.25</v>
      </c>
      <c r="H27" s="21"/>
    </row>
    <row r="28" spans="1:8" ht="15" customHeight="1" x14ac:dyDescent="0.25">
      <c r="A28" s="22"/>
      <c r="B28" s="75" t="s">
        <v>22</v>
      </c>
      <c r="C28" s="63"/>
      <c r="D28" s="63"/>
      <c r="E28" s="63"/>
      <c r="F28" s="63"/>
      <c r="G28" s="13">
        <f>G26*(1+G27)</f>
        <v>1156.25</v>
      </c>
      <c r="H28" s="14" t="s">
        <v>13</v>
      </c>
    </row>
    <row r="29" spans="1:8" ht="15" customHeight="1" x14ac:dyDescent="0.25">
      <c r="A29" s="23"/>
      <c r="B29" s="24"/>
      <c r="C29" s="24"/>
      <c r="D29" s="11"/>
      <c r="E29" s="11"/>
      <c r="F29" s="25"/>
      <c r="G29" s="26"/>
      <c r="H29" s="13"/>
    </row>
    <row r="30" spans="1:8" ht="15" customHeight="1" x14ac:dyDescent="0.25">
      <c r="A30" s="23" t="s">
        <v>23</v>
      </c>
      <c r="B30" s="53" t="s">
        <v>56</v>
      </c>
      <c r="C30" s="24" t="s">
        <v>75</v>
      </c>
      <c r="D30" s="54" t="s">
        <v>76</v>
      </c>
      <c r="E30" s="11">
        <v>1</v>
      </c>
      <c r="F30" s="25">
        <v>2000</v>
      </c>
      <c r="G30" s="26">
        <f>E30*F30</f>
        <v>2000</v>
      </c>
      <c r="H30" s="14" t="s">
        <v>13</v>
      </c>
    </row>
    <row r="31" spans="1:8" ht="15" customHeight="1" x14ac:dyDescent="0.25">
      <c r="A31" s="23"/>
      <c r="B31" s="76" t="s">
        <v>24</v>
      </c>
      <c r="C31" s="66"/>
      <c r="D31" s="66"/>
      <c r="E31" s="66"/>
      <c r="F31" s="66"/>
      <c r="G31" s="26">
        <f>G30-G28</f>
        <v>843.75</v>
      </c>
      <c r="H31" s="14" t="s">
        <v>13</v>
      </c>
    </row>
    <row r="32" spans="1:8" ht="15" customHeight="1" x14ac:dyDescent="0.25">
      <c r="A32" s="69" t="s">
        <v>26</v>
      </c>
      <c r="B32" s="6" t="s">
        <v>5</v>
      </c>
      <c r="C32" s="6" t="s">
        <v>6</v>
      </c>
      <c r="D32" s="7" t="s">
        <v>7</v>
      </c>
      <c r="E32" s="7" t="s">
        <v>8</v>
      </c>
      <c r="F32" s="8" t="s">
        <v>9</v>
      </c>
      <c r="G32" s="28" t="s">
        <v>10</v>
      </c>
      <c r="H32" s="28" t="s">
        <v>11</v>
      </c>
    </row>
    <row r="33" spans="1:8" ht="15" customHeight="1" x14ac:dyDescent="0.25">
      <c r="A33" s="70"/>
      <c r="B33" s="52" t="s">
        <v>52</v>
      </c>
      <c r="C33" s="52" t="s">
        <v>51</v>
      </c>
      <c r="D33" s="54" t="s">
        <v>59</v>
      </c>
      <c r="E33" s="12">
        <v>1</v>
      </c>
      <c r="F33">
        <v>355</v>
      </c>
      <c r="G33" s="13">
        <f t="shared" ref="G33:G34" si="3">E33*F33</f>
        <v>355</v>
      </c>
      <c r="H33" s="14" t="s">
        <v>13</v>
      </c>
    </row>
    <row r="34" spans="1:8" ht="15" customHeight="1" x14ac:dyDescent="0.25">
      <c r="A34" s="70"/>
      <c r="B34" s="52" t="s">
        <v>50</v>
      </c>
      <c r="C34" s="52" t="s">
        <v>49</v>
      </c>
      <c r="D34" s="56" t="s">
        <v>62</v>
      </c>
      <c r="E34" s="12">
        <v>5</v>
      </c>
      <c r="F34">
        <v>20</v>
      </c>
      <c r="G34" s="13">
        <f t="shared" si="3"/>
        <v>100</v>
      </c>
      <c r="H34" s="14" t="s">
        <v>13</v>
      </c>
    </row>
    <row r="35" spans="1:8" ht="15" customHeight="1" x14ac:dyDescent="0.25">
      <c r="A35" s="70"/>
      <c r="B35" s="72" t="s">
        <v>16</v>
      </c>
      <c r="C35" s="63"/>
      <c r="D35" s="63"/>
      <c r="E35" s="63"/>
      <c r="F35" s="63"/>
      <c r="G35" s="13">
        <f>SUM(G32:G34)</f>
        <v>455</v>
      </c>
      <c r="H35" s="14" t="s">
        <v>13</v>
      </c>
    </row>
    <row r="36" spans="1:8" ht="15" customHeight="1" x14ac:dyDescent="0.25">
      <c r="A36" s="70"/>
      <c r="B36" s="72" t="s">
        <v>17</v>
      </c>
      <c r="C36" s="63"/>
      <c r="D36" s="63"/>
      <c r="E36" s="63"/>
      <c r="F36" s="63"/>
      <c r="G36" s="21">
        <v>0.25</v>
      </c>
      <c r="H36" s="21"/>
    </row>
    <row r="37" spans="1:8" ht="15" customHeight="1" x14ac:dyDescent="0.25">
      <c r="A37" s="10"/>
      <c r="B37" s="64" t="s">
        <v>27</v>
      </c>
      <c r="C37" s="63"/>
      <c r="D37" s="63"/>
      <c r="E37" s="63"/>
      <c r="F37" s="63"/>
      <c r="G37" s="13">
        <f>G35*(1+G36)</f>
        <v>568.75</v>
      </c>
      <c r="H37" s="14" t="s">
        <v>13</v>
      </c>
    </row>
    <row r="38" spans="1:8" ht="15" customHeight="1" x14ac:dyDescent="0.25">
      <c r="A38" s="23"/>
      <c r="B38" s="24"/>
      <c r="C38" s="24"/>
      <c r="D38" s="11"/>
      <c r="E38" s="11"/>
      <c r="F38" s="25"/>
      <c r="G38" s="26"/>
      <c r="H38" s="13"/>
    </row>
    <row r="39" spans="1:8" ht="15" customHeight="1" x14ac:dyDescent="0.25">
      <c r="A39" s="23" t="s">
        <v>25</v>
      </c>
      <c r="B39" s="55" t="s">
        <v>58</v>
      </c>
      <c r="C39" s="24" t="s">
        <v>57</v>
      </c>
      <c r="D39" s="54" t="s">
        <v>64</v>
      </c>
      <c r="E39" s="11">
        <v>1</v>
      </c>
      <c r="F39" s="25">
        <v>1000</v>
      </c>
      <c r="G39" s="26">
        <f>E39*F39</f>
        <v>1000</v>
      </c>
      <c r="H39" s="14" t="s">
        <v>13</v>
      </c>
    </row>
    <row r="40" spans="1:8" ht="15" customHeight="1" x14ac:dyDescent="0.25">
      <c r="A40" s="27"/>
      <c r="B40" s="65" t="s">
        <v>66</v>
      </c>
      <c r="C40" s="66"/>
      <c r="D40" s="66"/>
      <c r="E40" s="66"/>
      <c r="F40" s="66"/>
      <c r="G40" s="26">
        <f>G39-G37</f>
        <v>431.25</v>
      </c>
      <c r="H40" s="14" t="s">
        <v>13</v>
      </c>
    </row>
    <row r="41" spans="1:8" ht="15" customHeight="1" x14ac:dyDescent="0.25">
      <c r="A41" s="19" t="s">
        <v>28</v>
      </c>
      <c r="B41" s="6" t="s">
        <v>5</v>
      </c>
      <c r="C41" s="6" t="s">
        <v>6</v>
      </c>
      <c r="D41" s="7" t="s">
        <v>7</v>
      </c>
      <c r="E41" s="29" t="s">
        <v>29</v>
      </c>
      <c r="F41" s="8" t="s">
        <v>9</v>
      </c>
      <c r="G41" s="28" t="s">
        <v>10</v>
      </c>
      <c r="H41" s="28" t="s">
        <v>11</v>
      </c>
    </row>
    <row r="42" spans="1:8" ht="15" customHeight="1" x14ac:dyDescent="0.25">
      <c r="A42" s="30" t="s">
        <v>30</v>
      </c>
      <c r="B42" s="53" t="s">
        <v>53</v>
      </c>
      <c r="C42" s="49" t="s">
        <v>54</v>
      </c>
      <c r="D42" s="11" t="s">
        <v>54</v>
      </c>
      <c r="E42" s="58" t="s">
        <v>61</v>
      </c>
      <c r="F42" s="25">
        <v>5000</v>
      </c>
      <c r="G42" s="31">
        <f>F42</f>
        <v>5000</v>
      </c>
      <c r="H42" s="32" t="s">
        <v>13</v>
      </c>
    </row>
    <row r="43" spans="1:8" ht="15" customHeight="1" x14ac:dyDescent="0.25">
      <c r="A43" s="33"/>
      <c r="B43" s="24"/>
      <c r="C43" s="24"/>
      <c r="D43" s="11"/>
      <c r="E43" s="11"/>
      <c r="F43" s="25"/>
      <c r="G43" s="26"/>
      <c r="H43" s="34"/>
    </row>
    <row r="44" spans="1:8" ht="15" customHeight="1" x14ac:dyDescent="0.25">
      <c r="A44" s="67" t="s">
        <v>31</v>
      </c>
      <c r="B44" s="57" t="s">
        <v>70</v>
      </c>
      <c r="C44" s="49" t="s">
        <v>54</v>
      </c>
      <c r="D44" s="49" t="s">
        <v>54</v>
      </c>
      <c r="E44" s="58" t="s">
        <v>61</v>
      </c>
      <c r="F44" s="25">
        <v>1662.5</v>
      </c>
      <c r="G44" s="26">
        <f>F44</f>
        <v>1662.5</v>
      </c>
      <c r="H44" s="14" t="s">
        <v>13</v>
      </c>
    </row>
    <row r="45" spans="1:8" ht="15" customHeight="1" x14ac:dyDescent="0.25">
      <c r="A45" s="68"/>
      <c r="B45" s="24" t="s">
        <v>56</v>
      </c>
      <c r="C45" s="24" t="s">
        <v>55</v>
      </c>
      <c r="D45" s="54" t="s">
        <v>65</v>
      </c>
      <c r="E45" s="58" t="s">
        <v>73</v>
      </c>
      <c r="F45" s="25">
        <v>2000</v>
      </c>
      <c r="G45" s="26">
        <f>F45</f>
        <v>2000</v>
      </c>
      <c r="H45" s="14" t="s">
        <v>13</v>
      </c>
    </row>
    <row r="46" spans="1:8" ht="15" customHeight="1" x14ac:dyDescent="0.25">
      <c r="A46" s="68"/>
      <c r="B46" s="15" t="s">
        <v>71</v>
      </c>
      <c r="C46" s="24" t="s">
        <v>57</v>
      </c>
      <c r="D46" s="54" t="s">
        <v>64</v>
      </c>
      <c r="E46" s="61" t="s">
        <v>72</v>
      </c>
      <c r="F46">
        <v>1000</v>
      </c>
      <c r="G46" s="13">
        <f>F46</f>
        <v>1000</v>
      </c>
      <c r="H46" s="14" t="s">
        <v>13</v>
      </c>
    </row>
    <row r="47" spans="1:8" ht="15" customHeight="1" x14ac:dyDescent="0.25">
      <c r="A47" s="33"/>
      <c r="B47" s="62" t="s">
        <v>32</v>
      </c>
      <c r="C47" s="63"/>
      <c r="D47" s="63"/>
      <c r="E47" s="63"/>
      <c r="F47" s="63"/>
      <c r="G47" s="31">
        <f>G42-SUM(G44:G46)</f>
        <v>337.5</v>
      </c>
      <c r="H47" s="32" t="s">
        <v>13</v>
      </c>
    </row>
    <row r="48" spans="1:8" ht="15" customHeight="1" x14ac:dyDescent="0.25">
      <c r="A48" s="33"/>
      <c r="B48" s="2"/>
      <c r="C48" s="2"/>
      <c r="D48" s="17"/>
      <c r="E48" s="17"/>
      <c r="F48" s="17"/>
      <c r="G48" s="35"/>
      <c r="H48" s="36"/>
    </row>
    <row r="49" spans="1:8" ht="15" customHeight="1" x14ac:dyDescent="0.25">
      <c r="A49" s="19" t="s">
        <v>33</v>
      </c>
      <c r="B49" s="6" t="s">
        <v>5</v>
      </c>
      <c r="C49" s="6" t="s">
        <v>6</v>
      </c>
      <c r="D49" s="7" t="s">
        <v>7</v>
      </c>
      <c r="E49" s="29" t="s">
        <v>29</v>
      </c>
      <c r="F49" s="8" t="s">
        <v>9</v>
      </c>
      <c r="G49" s="28" t="s">
        <v>10</v>
      </c>
      <c r="H49" s="28" t="s">
        <v>11</v>
      </c>
    </row>
    <row r="50" spans="1:8" ht="15" customHeight="1" x14ac:dyDescent="0.25">
      <c r="A50" s="30" t="s">
        <v>34</v>
      </c>
      <c r="B50" s="57" t="s">
        <v>74</v>
      </c>
      <c r="C50" s="58"/>
      <c r="D50" s="59" t="s">
        <v>68</v>
      </c>
      <c r="E50" s="59" t="s">
        <v>69</v>
      </c>
      <c r="F50" s="60">
        <v>5000</v>
      </c>
      <c r="G50" s="31">
        <f>F50</f>
        <v>5000</v>
      </c>
      <c r="H50" s="32" t="s">
        <v>13</v>
      </c>
    </row>
    <row r="51" spans="1:8" ht="15" customHeight="1" x14ac:dyDescent="0.25">
      <c r="A51" s="33"/>
      <c r="B51" s="24"/>
      <c r="C51" s="24"/>
      <c r="D51" s="11"/>
      <c r="E51" s="11"/>
      <c r="F51" s="25"/>
      <c r="G51" s="26"/>
      <c r="H51" s="34"/>
    </row>
    <row r="52" spans="1:8" ht="15" customHeight="1" x14ac:dyDescent="0.25">
      <c r="A52" s="67" t="s">
        <v>36</v>
      </c>
      <c r="B52" s="57" t="s">
        <v>70</v>
      </c>
      <c r="C52" s="49" t="s">
        <v>54</v>
      </c>
      <c r="D52" s="49" t="s">
        <v>54</v>
      </c>
      <c r="E52" s="58" t="s">
        <v>61</v>
      </c>
      <c r="F52" s="25">
        <v>1662.5</v>
      </c>
      <c r="G52" s="26">
        <f>F52</f>
        <v>1662.5</v>
      </c>
      <c r="H52" s="14" t="s">
        <v>13</v>
      </c>
    </row>
    <row r="53" spans="1:8" ht="15" customHeight="1" x14ac:dyDescent="0.25">
      <c r="A53" s="68"/>
      <c r="B53" s="24" t="s">
        <v>56</v>
      </c>
      <c r="C53" s="24" t="s">
        <v>55</v>
      </c>
      <c r="D53" s="54" t="s">
        <v>65</v>
      </c>
      <c r="E53" s="58" t="s">
        <v>73</v>
      </c>
      <c r="F53" s="25">
        <v>2000</v>
      </c>
      <c r="G53" s="26">
        <f>F53</f>
        <v>2000</v>
      </c>
      <c r="H53" s="14" t="s">
        <v>13</v>
      </c>
    </row>
    <row r="54" spans="1:8" ht="15" customHeight="1" x14ac:dyDescent="0.25">
      <c r="A54" s="68"/>
      <c r="B54" s="15" t="s">
        <v>71</v>
      </c>
      <c r="C54" s="24" t="s">
        <v>57</v>
      </c>
      <c r="D54" s="54" t="s">
        <v>64</v>
      </c>
      <c r="E54" s="61" t="s">
        <v>72</v>
      </c>
      <c r="F54">
        <v>1000</v>
      </c>
      <c r="G54" s="13">
        <f>F54</f>
        <v>1000</v>
      </c>
      <c r="H54" s="14" t="s">
        <v>13</v>
      </c>
    </row>
    <row r="55" spans="1:8" ht="15" customHeight="1" x14ac:dyDescent="0.25">
      <c r="A55" s="33"/>
      <c r="B55" s="62" t="s">
        <v>37</v>
      </c>
      <c r="C55" s="63"/>
      <c r="D55" s="63"/>
      <c r="E55" s="63"/>
      <c r="F55" s="63"/>
      <c r="G55" s="31">
        <f>G50-SUM(G52:G54)</f>
        <v>337.5</v>
      </c>
      <c r="H55" s="32" t="s">
        <v>13</v>
      </c>
    </row>
    <row r="56" spans="1:8" ht="15" customHeight="1" x14ac:dyDescent="0.25">
      <c r="A56" s="22"/>
      <c r="B56" s="15"/>
      <c r="D56" s="37"/>
      <c r="E56" s="11"/>
      <c r="F56" s="15"/>
      <c r="G56" s="13"/>
      <c r="H56" s="38"/>
    </row>
    <row r="57" spans="1:8" ht="15" customHeight="1" x14ac:dyDescent="0.25">
      <c r="A57" s="39"/>
      <c r="B57" s="40" t="s">
        <v>5</v>
      </c>
      <c r="C57" s="40" t="s">
        <v>6</v>
      </c>
      <c r="D57" s="41" t="s">
        <v>7</v>
      </c>
      <c r="E57" s="41"/>
      <c r="F57" s="42" t="s">
        <v>38</v>
      </c>
      <c r="G57" s="43" t="s">
        <v>39</v>
      </c>
      <c r="H57" s="44"/>
    </row>
    <row r="58" spans="1:8" ht="15" customHeight="1" x14ac:dyDescent="0.25">
      <c r="A58" s="10"/>
      <c r="B58" t="s">
        <v>35</v>
      </c>
      <c r="C58" t="s">
        <v>12</v>
      </c>
      <c r="D58" s="11" t="s">
        <v>40</v>
      </c>
      <c r="E58" s="12"/>
      <c r="F58" s="15">
        <v>8000</v>
      </c>
      <c r="G58" s="13">
        <f>SUM(G52:G54)</f>
        <v>4662.5</v>
      </c>
      <c r="H58" s="13"/>
    </row>
    <row r="59" spans="1:8" ht="15" customHeight="1" x14ac:dyDescent="0.25">
      <c r="A59" s="10"/>
      <c r="D59" s="12"/>
      <c r="E59" s="12"/>
      <c r="F59" s="20" t="s">
        <v>41</v>
      </c>
      <c r="G59" s="13">
        <f>F58/G58</f>
        <v>1.7158176943699732</v>
      </c>
      <c r="H59" s="14" t="s">
        <v>42</v>
      </c>
    </row>
  </sheetData>
  <mergeCells count="21">
    <mergeCell ref="A23:A27"/>
    <mergeCell ref="A32:A36"/>
    <mergeCell ref="A1:H1"/>
    <mergeCell ref="B17:F17"/>
    <mergeCell ref="B18:F18"/>
    <mergeCell ref="A7:A12"/>
    <mergeCell ref="A15:A18"/>
    <mergeCell ref="B19:F19"/>
    <mergeCell ref="B22:F22"/>
    <mergeCell ref="B26:F26"/>
    <mergeCell ref="B27:F27"/>
    <mergeCell ref="B28:F28"/>
    <mergeCell ref="B31:F31"/>
    <mergeCell ref="B35:F35"/>
    <mergeCell ref="B36:F36"/>
    <mergeCell ref="B55:F55"/>
    <mergeCell ref="B37:F37"/>
    <mergeCell ref="B40:F40"/>
    <mergeCell ref="A44:A46"/>
    <mergeCell ref="B47:F47"/>
    <mergeCell ref="A52:A54"/>
  </mergeCells>
  <conditionalFormatting sqref="G22 G31 G40">
    <cfRule type="cellIs" dxfId="0" priority="1" operator="lessThan">
      <formula>0</formula>
    </cfRule>
  </conditionalFormatting>
  <pageMargins left="0.7" right="0.7" top="0.75" bottom="0.75" header="0.3" footer="0.3"/>
  <pageSetup scale="3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bmbis</dc:creator>
  <cp:lastModifiedBy>Armando Botiller (Student)</cp:lastModifiedBy>
  <cp:lastPrinted>2026-03-21T23:20:13Z</cp:lastPrinted>
  <dcterms:created xsi:type="dcterms:W3CDTF">2026-03-21T23:19:47Z</dcterms:created>
  <dcterms:modified xsi:type="dcterms:W3CDTF">2026-03-29T21:02:48Z</dcterms:modified>
</cp:coreProperties>
</file>