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llege\sp26\egr314\botilarm.github.io\docs\03-Component-Selection\"/>
    </mc:Choice>
  </mc:AlternateContent>
  <xr:revisionPtr revIDLastSave="0" documentId="13_ncr:1_{6428EA56-820F-42B1-ACAF-45C4C31CF862}" xr6:coauthVersionLast="47" xr6:coauthVersionMax="47" xr10:uidLastSave="{00000000-0000-0000-0000-000000000000}"/>
  <bookViews>
    <workbookView xWindow="750" yWindow="-120" windowWidth="28170" windowHeight="16440" xr2:uid="{00000000-000D-0000-FFFF-FFFF00000000}"/>
  </bookViews>
  <sheets>
    <sheet name="Power Budg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1" l="1"/>
  <c r="G48" i="1"/>
  <c r="G44" i="1"/>
  <c r="G43" i="1"/>
  <c r="G42" i="1"/>
  <c r="G53" i="1" l="1"/>
  <c r="G45" i="1"/>
  <c r="G37" i="1"/>
  <c r="G32" i="1"/>
  <c r="G30" i="1"/>
  <c r="G27" i="1"/>
  <c r="G23" i="1"/>
  <c r="G24" i="1" s="1"/>
  <c r="G26" i="1" s="1"/>
  <c r="G15" i="1"/>
  <c r="G12" i="1"/>
  <c r="G11" i="1"/>
  <c r="G10" i="1"/>
  <c r="G9" i="1"/>
  <c r="G8" i="1"/>
  <c r="G16" i="1" l="1"/>
  <c r="G18" i="1" s="1"/>
  <c r="G28" i="1"/>
  <c r="G33" i="1"/>
  <c r="G35" i="1" s="1"/>
  <c r="G38" i="1" s="1"/>
  <c r="G56" i="1"/>
  <c r="G57" i="1" s="1"/>
  <c r="G20" i="1" l="1"/>
  <c r="G2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7" authorId="0" shapeId="0" xr:uid="{00000000-0006-0000-0000-000001000000}">
      <text>
        <r>
          <rPr>
            <sz val="12"/>
            <color rgb="FF000000"/>
            <rFont val="Calibri"/>
          </rPr>
          <t>For inductive loads (e.g., motors, solenoids) this is often called "stall current" on the data sheet</t>
        </r>
      </text>
    </comment>
  </commentList>
</comments>
</file>

<file path=xl/sharedStrings.xml><?xml version="1.0" encoding="utf-8"?>
<sst xmlns="http://schemas.openxmlformats.org/spreadsheetml/2006/main" count="190" uniqueCount="81">
  <si>
    <t>Team Number:</t>
  </si>
  <si>
    <t>Project Name:</t>
  </si>
  <si>
    <t>Team Member Names:</t>
  </si>
  <si>
    <t>Version:</t>
  </si>
  <si>
    <t>All Major Components</t>
  </si>
  <si>
    <t>Component Name</t>
  </si>
  <si>
    <t>Part Number</t>
  </si>
  <si>
    <t>Supply
Voltage
Range</t>
  </si>
  <si>
    <t>#</t>
  </si>
  <si>
    <t>Absolute
Maximum
Current (mA)</t>
  </si>
  <si>
    <t>Total
Current
(mA)</t>
  </si>
  <si>
    <t>Unit</t>
  </si>
  <si>
    <t>mA</t>
  </si>
  <si>
    <t xml:space="preserve"> +12V Power Rail</t>
  </si>
  <si>
    <t xml:space="preserve">Subtotal </t>
  </si>
  <si>
    <t>Safety Margin</t>
  </si>
  <si>
    <t>Total Current Required on +12V Rail</t>
  </si>
  <si>
    <t>c1. Regulator or Source Choice</t>
  </si>
  <si>
    <t>Total Remaining Current Available on +12V Rail</t>
  </si>
  <si>
    <t xml:space="preserve"> +5V Power Rail</t>
  </si>
  <si>
    <t>Total Current Required on +5V Rail</t>
  </si>
  <si>
    <t>c2. Regulator or Source Choice</t>
  </si>
  <si>
    <t>Total Remaining Current Available on +5V Rail</t>
  </si>
  <si>
    <t>c3. Regulator or Source Choice</t>
  </si>
  <si>
    <t xml:space="preserve"> +3.3V Power Rail</t>
  </si>
  <si>
    <t>Total Current Required on +3.3V Rail</t>
  </si>
  <si>
    <t>External Power Source 1</t>
  </si>
  <si>
    <t>Output Voltage</t>
  </si>
  <si>
    <t>Power Source 1 Selection</t>
  </si>
  <si>
    <t>Power Rails Connected to External Power Source 1</t>
  </si>
  <si>
    <t>Total Remaining Current Available on External Power Source 1</t>
  </si>
  <si>
    <t>External Power Source 2</t>
  </si>
  <si>
    <t>Power Source 2 Selection</t>
  </si>
  <si>
    <t>Battery</t>
  </si>
  <si>
    <t>Power Rails Connected to External Power Source 2</t>
  </si>
  <si>
    <t>Total Remaining Current Available on External Power Source 2</t>
  </si>
  <si>
    <t>Capacity
(mAh)</t>
  </si>
  <si>
    <t>Required
By
Regulators</t>
  </si>
  <si>
    <t xml:space="preserve"> +12V</t>
  </si>
  <si>
    <t>Battery Life</t>
  </si>
  <si>
    <t>hours</t>
  </si>
  <si>
    <t>Sable</t>
  </si>
  <si>
    <t>Lea, Vedaa, Khalid, Matthew, Manuel, Armando</t>
  </si>
  <si>
    <t>SER0039</t>
  </si>
  <si>
    <t xml:space="preserve">9G RC Servo </t>
  </si>
  <si>
    <t>0-5V</t>
  </si>
  <si>
    <t>LTST-M670TBKT</t>
  </si>
  <si>
    <t>LED</t>
  </si>
  <si>
    <t>ESP32-S3-WROOM-1</t>
  </si>
  <si>
    <t>ESP32 Microcontroller</t>
  </si>
  <si>
    <t xml:space="preserve"> +12V Battery</t>
  </si>
  <si>
    <t>N/A</t>
  </si>
  <si>
    <t xml:space="preserve"> +5V Buck Converter</t>
  </si>
  <si>
    <t>LM2575-3.3WU-TR</t>
  </si>
  <si>
    <t>+3.3V Buck Converter</t>
  </si>
  <si>
    <t>+2.7-3.6V</t>
  </si>
  <si>
    <t>+3-5.25V</t>
  </si>
  <si>
    <t>+12V</t>
  </si>
  <si>
    <t>+0-3.3V</t>
  </si>
  <si>
    <t>+0-5V</t>
  </si>
  <si>
    <t>+4-40V</t>
  </si>
  <si>
    <t>Total Remaining Current Available on +3.3V Rail</t>
  </si>
  <si>
    <t>Sable Arm Power Budget</t>
  </si>
  <si>
    <t>90-264 VAC</t>
  </si>
  <si>
    <t>9V</t>
  </si>
  <si>
    <t>+12V Power Rail</t>
  </si>
  <si>
    <t xml:space="preserve"> +3.3V Buck converter</t>
  </si>
  <si>
    <t>+3.3V</t>
  </si>
  <si>
    <t>+5V</t>
  </si>
  <si>
    <t>+9V 5A Wall Power Supply</t>
  </si>
  <si>
    <t>LM2592HVS-5.0</t>
  </si>
  <si>
    <t>+0-57V</t>
  </si>
  <si>
    <t>TMC2209-LA-T</t>
  </si>
  <si>
    <t>+3.4V</t>
  </si>
  <si>
    <t>42BYG40B-18T42</t>
  </si>
  <si>
    <t>BGN5500-10EWP-A800EC</t>
  </si>
  <si>
    <t>Battery Life Calculation</t>
  </si>
  <si>
    <t>Stepper Motor Driver</t>
  </si>
  <si>
    <t>Stepper Motor driver</t>
  </si>
  <si>
    <t>Stepper Motor</t>
  </si>
  <si>
    <t>0930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</si>
</sst>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rgb="FF000000"/>
      <name val="Calibri"/>
    </font>
    <font>
      <b/>
      <sz val="12"/>
      <color rgb="FF000000"/>
      <name val="Calibri"/>
    </font>
    <font>
      <sz val="12"/>
      <name val="Calibri"/>
    </font>
    <font>
      <b/>
      <sz val="12"/>
      <color rgb="FF000000"/>
      <name val="Arial"/>
    </font>
    <font>
      <b/>
      <i/>
      <sz val="12"/>
      <color rgb="FF000000"/>
      <name val="Arial"/>
    </font>
    <font>
      <b/>
      <i/>
      <sz val="12"/>
      <color rgb="FF000000"/>
      <name val="Calibri"/>
    </font>
    <font>
      <sz val="12"/>
      <color rgb="FF000000"/>
      <name val="Arial"/>
      <family val="2"/>
    </font>
    <font>
      <b/>
      <i/>
      <sz val="12"/>
      <color rgb="FF000000"/>
      <name val="Arial"/>
      <family val="2"/>
    </font>
    <font>
      <b/>
      <sz val="24"/>
      <color rgb="FF000000"/>
      <name val="Calibri"/>
      <family val="2"/>
    </font>
    <font>
      <b/>
      <sz val="12"/>
      <color rgb="FF000000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45">
    <xf numFmtId="0" fontId="0" fillId="0" borderId="0" xfId="0"/>
    <xf numFmtId="0" fontId="1" fillId="0" borderId="1" xfId="0" applyFont="1" applyBorder="1"/>
    <xf numFmtId="0" fontId="3" fillId="0" borderId="1" xfId="0" applyFont="1" applyBorder="1"/>
    <xf numFmtId="0" fontId="3" fillId="0" borderId="0" xfId="0" applyFont="1"/>
    <xf numFmtId="0" fontId="0" fillId="0" borderId="4" xfId="0" applyBorder="1"/>
    <xf numFmtId="0" fontId="1" fillId="0" borderId="4" xfId="0" applyFont="1" applyBorder="1"/>
    <xf numFmtId="0" fontId="5" fillId="0" borderId="4" xfId="0" applyFont="1" applyBorder="1"/>
    <xf numFmtId="0" fontId="4" fillId="0" borderId="4" xfId="0" applyFont="1" applyBorder="1" applyAlignment="1">
      <alignment horizontal="left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6" fillId="0" borderId="0" xfId="0" applyFont="1" applyAlignment="1">
      <alignment horizontal="center"/>
    </xf>
    <xf numFmtId="0" fontId="6" fillId="0" borderId="5" xfId="0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quotePrefix="1" applyFont="1" applyAlignment="1">
      <alignment horizontal="center"/>
    </xf>
    <xf numFmtId="0" fontId="6" fillId="0" borderId="0" xfId="0" quotePrefix="1" applyFont="1" applyAlignment="1">
      <alignment horizontal="left"/>
    </xf>
    <xf numFmtId="0" fontId="6" fillId="0" borderId="9" xfId="0" applyFont="1" applyBorder="1" applyAlignment="1">
      <alignment horizontal="center"/>
    </xf>
    <xf numFmtId="0" fontId="6" fillId="0" borderId="11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0" fillId="0" borderId="0" xfId="0"/>
    <xf numFmtId="0" fontId="7" fillId="0" borderId="0" xfId="0" applyFont="1" applyAlignment="1">
      <alignment horizontal="right"/>
    </xf>
    <xf numFmtId="0" fontId="9" fillId="2" borderId="9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6" fillId="0" borderId="0" xfId="0" applyFont="1"/>
    <xf numFmtId="0" fontId="7" fillId="0" borderId="4" xfId="0" applyFont="1" applyBorder="1"/>
    <xf numFmtId="0" fontId="7" fillId="0" borderId="4" xfId="0" applyFont="1" applyBorder="1" applyAlignment="1">
      <alignment horizontal="left"/>
    </xf>
    <xf numFmtId="0" fontId="6" fillId="0" borderId="0" xfId="0" applyFont="1" applyAlignment="1">
      <alignment horizontal="right"/>
    </xf>
    <xf numFmtId="0" fontId="6" fillId="0" borderId="5" xfId="0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0" fontId="9" fillId="0" borderId="0" xfId="0" applyFont="1" applyAlignment="1">
      <alignment horizontal="center"/>
    </xf>
    <xf numFmtId="0" fontId="9" fillId="0" borderId="1" xfId="0" applyFont="1" applyBorder="1"/>
    <xf numFmtId="0" fontId="9" fillId="0" borderId="0" xfId="0" applyFont="1"/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left"/>
    </xf>
    <xf numFmtId="0" fontId="9" fillId="2" borderId="2" xfId="0" applyFont="1" applyFill="1" applyBorder="1" applyAlignment="1">
      <alignment horizontal="center" wrapText="1"/>
    </xf>
    <xf numFmtId="0" fontId="6" fillId="0" borderId="6" xfId="0" applyFont="1" applyBorder="1"/>
    <xf numFmtId="49" fontId="7" fillId="0" borderId="0" xfId="0" applyNumberFormat="1" applyFont="1" applyAlignment="1">
      <alignment horizontal="right"/>
    </xf>
    <xf numFmtId="0" fontId="10" fillId="0" borderId="0" xfId="0" applyFont="1"/>
    <xf numFmtId="0" fontId="9" fillId="2" borderId="8" xfId="0" applyFont="1" applyFill="1" applyBorder="1" applyAlignment="1">
      <alignment horizontal="center"/>
    </xf>
    <xf numFmtId="0" fontId="6" fillId="0" borderId="7" xfId="0" applyFont="1" applyBorder="1"/>
    <xf numFmtId="0" fontId="6" fillId="0" borderId="7" xfId="0" applyFont="1" applyBorder="1" applyAlignment="1">
      <alignment horizontal="center"/>
    </xf>
    <xf numFmtId="0" fontId="6" fillId="0" borderId="13" xfId="0" applyFont="1" applyBorder="1"/>
    <xf numFmtId="0" fontId="6" fillId="0" borderId="14" xfId="0" applyFont="1" applyBorder="1"/>
    <xf numFmtId="0" fontId="9" fillId="2" borderId="9" xfId="0" applyFont="1" applyFill="1" applyBorder="1" applyAlignment="1">
      <alignment horizontal="center"/>
    </xf>
    <xf numFmtId="0" fontId="9" fillId="2" borderId="15" xfId="0" applyFont="1" applyFill="1" applyBorder="1" applyAlignment="1">
      <alignment horizontal="center"/>
    </xf>
    <xf numFmtId="0" fontId="9" fillId="2" borderId="16" xfId="0" applyFont="1" applyFill="1" applyBorder="1" applyAlignment="1">
      <alignment horizontal="center"/>
    </xf>
    <xf numFmtId="0" fontId="9" fillId="2" borderId="17" xfId="0" applyFont="1" applyFill="1" applyBorder="1" applyAlignment="1">
      <alignment horizontal="center"/>
    </xf>
    <xf numFmtId="0" fontId="6" fillId="0" borderId="18" xfId="0" applyFont="1" applyBorder="1"/>
    <xf numFmtId="0" fontId="7" fillId="0" borderId="7" xfId="0" applyFont="1" applyBorder="1" applyAlignment="1">
      <alignment horizontal="right"/>
    </xf>
    <xf numFmtId="0" fontId="6" fillId="0" borderId="7" xfId="0" applyFont="1" applyBorder="1"/>
    <xf numFmtId="0" fontId="7" fillId="0" borderId="13" xfId="0" applyFont="1" applyBorder="1" applyAlignment="1">
      <alignment horizontal="right"/>
    </xf>
    <xf numFmtId="0" fontId="6" fillId="0" borderId="13" xfId="0" applyFont="1" applyBorder="1"/>
    <xf numFmtId="0" fontId="6" fillId="0" borderId="20" xfId="0" applyFont="1" applyBorder="1"/>
    <xf numFmtId="0" fontId="7" fillId="2" borderId="21" xfId="0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9" fillId="2" borderId="26" xfId="0" applyFont="1" applyFill="1" applyBorder="1" applyAlignment="1">
      <alignment horizontal="center"/>
    </xf>
    <xf numFmtId="0" fontId="9" fillId="2" borderId="27" xfId="0" applyFont="1" applyFill="1" applyBorder="1" applyAlignment="1">
      <alignment horizontal="center"/>
    </xf>
    <xf numFmtId="0" fontId="6" fillId="0" borderId="11" xfId="0" applyFont="1" applyBorder="1"/>
    <xf numFmtId="0" fontId="6" fillId="0" borderId="28" xfId="0" applyFont="1" applyBorder="1"/>
    <xf numFmtId="0" fontId="6" fillId="0" borderId="28" xfId="0" applyFont="1" applyBorder="1" applyAlignment="1">
      <alignment horizontal="center"/>
    </xf>
    <xf numFmtId="0" fontId="6" fillId="0" borderId="29" xfId="0" applyFont="1" applyBorder="1"/>
    <xf numFmtId="0" fontId="6" fillId="0" borderId="30" xfId="0" applyFont="1" applyBorder="1"/>
    <xf numFmtId="0" fontId="6" fillId="0" borderId="31" xfId="0" applyFont="1" applyBorder="1" applyAlignment="1">
      <alignment horizontal="center"/>
    </xf>
    <xf numFmtId="0" fontId="6" fillId="0" borderId="9" xfId="0" quotePrefix="1" applyFont="1" applyBorder="1" applyAlignment="1">
      <alignment horizontal="center"/>
    </xf>
    <xf numFmtId="0" fontId="6" fillId="0" borderId="32" xfId="0" applyFont="1" applyBorder="1"/>
    <xf numFmtId="9" fontId="6" fillId="0" borderId="32" xfId="0" applyNumberFormat="1" applyFont="1" applyBorder="1"/>
    <xf numFmtId="9" fontId="6" fillId="0" borderId="30" xfId="0" applyNumberFormat="1" applyFont="1" applyBorder="1"/>
    <xf numFmtId="0" fontId="6" fillId="0" borderId="33" xfId="0" applyFont="1" applyBorder="1"/>
    <xf numFmtId="0" fontId="6" fillId="0" borderId="27" xfId="0" applyFont="1" applyBorder="1"/>
    <xf numFmtId="0" fontId="6" fillId="0" borderId="12" xfId="0" applyFont="1" applyBorder="1"/>
    <xf numFmtId="0" fontId="6" fillId="0" borderId="23" xfId="0" applyFont="1" applyBorder="1"/>
    <xf numFmtId="0" fontId="6" fillId="0" borderId="25" xfId="0" applyFont="1" applyBorder="1"/>
    <xf numFmtId="0" fontId="6" fillId="0" borderId="9" xfId="0" applyFont="1" applyBorder="1"/>
    <xf numFmtId="0" fontId="6" fillId="0" borderId="23" xfId="0" applyFont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6" fillId="0" borderId="23" xfId="0" quotePrefix="1" applyFont="1" applyBorder="1" applyAlignment="1">
      <alignment horizontal="center"/>
    </xf>
    <xf numFmtId="0" fontId="6" fillId="0" borderId="25" xfId="0" quotePrefix="1" applyFont="1" applyBorder="1" applyAlignment="1">
      <alignment horizontal="center"/>
    </xf>
    <xf numFmtId="49" fontId="6" fillId="0" borderId="25" xfId="0" quotePrefix="1" applyNumberFormat="1" applyFont="1" applyBorder="1" applyAlignment="1">
      <alignment horizontal="center"/>
    </xf>
    <xf numFmtId="0" fontId="9" fillId="2" borderId="36" xfId="0" applyFont="1" applyFill="1" applyBorder="1" applyAlignment="1">
      <alignment horizontal="center"/>
    </xf>
    <xf numFmtId="0" fontId="7" fillId="0" borderId="11" xfId="0" applyFont="1" applyBorder="1" applyAlignment="1">
      <alignment horizontal="left"/>
    </xf>
    <xf numFmtId="0" fontId="6" fillId="0" borderId="28" xfId="0" applyFont="1" applyBorder="1" applyAlignment="1">
      <alignment horizontal="left"/>
    </xf>
    <xf numFmtId="0" fontId="6" fillId="0" borderId="28" xfId="0" applyFont="1" applyBorder="1" applyAlignment="1">
      <alignment horizontal="right"/>
    </xf>
    <xf numFmtId="0" fontId="6" fillId="0" borderId="29" xfId="0" applyFont="1" applyBorder="1" applyAlignment="1">
      <alignment horizontal="right"/>
    </xf>
    <xf numFmtId="49" fontId="7" fillId="0" borderId="7" xfId="0" applyNumberFormat="1" applyFont="1" applyBorder="1" applyAlignment="1">
      <alignment horizontal="right"/>
    </xf>
    <xf numFmtId="0" fontId="10" fillId="0" borderId="7" xfId="0" applyFont="1" applyBorder="1"/>
    <xf numFmtId="9" fontId="6" fillId="0" borderId="14" xfId="0" applyNumberFormat="1" applyFont="1" applyBorder="1"/>
    <xf numFmtId="9" fontId="6" fillId="0" borderId="20" xfId="0" applyNumberFormat="1" applyFont="1" applyBorder="1"/>
    <xf numFmtId="0" fontId="6" fillId="0" borderId="32" xfId="0" applyFont="1" applyBorder="1" applyAlignment="1">
      <alignment horizontal="right"/>
    </xf>
    <xf numFmtId="0" fontId="6" fillId="0" borderId="31" xfId="0" applyFont="1" applyBorder="1" applyAlignment="1">
      <alignment horizontal="right"/>
    </xf>
    <xf numFmtId="0" fontId="6" fillId="0" borderId="11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6" fillId="0" borderId="31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9" fillId="2" borderId="32" xfId="0" applyFont="1" applyFill="1" applyBorder="1" applyAlignment="1">
      <alignment horizontal="center"/>
    </xf>
    <xf numFmtId="0" fontId="9" fillId="2" borderId="30" xfId="0" applyFont="1" applyFill="1" applyBorder="1" applyAlignment="1">
      <alignment horizontal="center"/>
    </xf>
    <xf numFmtId="9" fontId="6" fillId="0" borderId="32" xfId="0" applyNumberFormat="1" applyFont="1" applyBorder="1" applyAlignment="1"/>
    <xf numFmtId="0" fontId="6" fillId="0" borderId="7" xfId="0" applyFont="1" applyBorder="1" applyAlignment="1">
      <alignment horizontal="left"/>
    </xf>
    <xf numFmtId="0" fontId="6" fillId="0" borderId="7" xfId="0" applyFont="1" applyBorder="1" applyAlignment="1">
      <alignment horizontal="right"/>
    </xf>
    <xf numFmtId="0" fontId="3" fillId="0" borderId="22" xfId="0" applyFont="1" applyBorder="1" applyAlignment="1">
      <alignment horizontal="center"/>
    </xf>
    <xf numFmtId="0" fontId="6" fillId="0" borderId="37" xfId="0" applyFont="1" applyBorder="1"/>
    <xf numFmtId="0" fontId="3" fillId="0" borderId="19" xfId="0" applyFont="1" applyBorder="1" applyAlignment="1">
      <alignment horizontal="center"/>
    </xf>
    <xf numFmtId="49" fontId="7" fillId="0" borderId="13" xfId="0" applyNumberFormat="1" applyFont="1" applyBorder="1" applyAlignment="1">
      <alignment horizontal="right"/>
    </xf>
    <xf numFmtId="0" fontId="6" fillId="0" borderId="35" xfId="0" applyFont="1" applyBorder="1" applyAlignment="1">
      <alignment horizontal="left"/>
    </xf>
    <xf numFmtId="0" fontId="6" fillId="0" borderId="35" xfId="0" quotePrefix="1" applyFont="1" applyBorder="1" applyAlignment="1">
      <alignment horizontal="center"/>
    </xf>
    <xf numFmtId="0" fontId="6" fillId="0" borderId="31" xfId="0" quotePrefix="1" applyFont="1" applyBorder="1" applyAlignment="1">
      <alignment horizontal="center"/>
    </xf>
    <xf numFmtId="0" fontId="3" fillId="0" borderId="23" xfId="0" applyFont="1" applyBorder="1" applyAlignment="1">
      <alignment horizontal="left" vertical="center" wrapText="1"/>
    </xf>
    <xf numFmtId="0" fontId="2" fillId="0" borderId="24" xfId="0" applyFont="1" applyBorder="1"/>
    <xf numFmtId="0" fontId="2" fillId="0" borderId="25" xfId="0" applyFont="1" applyBorder="1"/>
    <xf numFmtId="0" fontId="6" fillId="0" borderId="23" xfId="0" quotePrefix="1" applyFont="1" applyBorder="1" applyAlignment="1">
      <alignment horizontal="left"/>
    </xf>
    <xf numFmtId="0" fontId="6" fillId="0" borderId="25" xfId="0" applyFont="1" applyBorder="1" applyAlignment="1">
      <alignment horizontal="left"/>
    </xf>
    <xf numFmtId="0" fontId="4" fillId="2" borderId="21" xfId="0" applyFont="1" applyFill="1" applyBorder="1"/>
    <xf numFmtId="0" fontId="3" fillId="0" borderId="11" xfId="0" applyFont="1" applyBorder="1" applyAlignment="1">
      <alignment horizontal="left"/>
    </xf>
    <xf numFmtId="0" fontId="6" fillId="0" borderId="38" xfId="0" applyFont="1" applyBorder="1" applyAlignment="1">
      <alignment horizontal="right"/>
    </xf>
    <xf numFmtId="0" fontId="6" fillId="0" borderId="9" xfId="0" applyFont="1" applyBorder="1" applyAlignment="1">
      <alignment horizontal="right"/>
    </xf>
    <xf numFmtId="0" fontId="9" fillId="2" borderId="31" xfId="0" applyFont="1" applyFill="1" applyBorder="1" applyAlignment="1">
      <alignment horizontal="center" wrapText="1"/>
    </xf>
    <xf numFmtId="0" fontId="9" fillId="2" borderId="31" xfId="0" applyFont="1" applyFill="1" applyBorder="1" applyAlignment="1">
      <alignment horizontal="center"/>
    </xf>
    <xf numFmtId="0" fontId="9" fillId="2" borderId="34" xfId="0" applyFont="1" applyFill="1" applyBorder="1" applyAlignment="1">
      <alignment horizontal="center"/>
    </xf>
    <xf numFmtId="0" fontId="6" fillId="0" borderId="21" xfId="0" quotePrefix="1" applyFont="1" applyBorder="1" applyAlignment="1">
      <alignment horizontal="center"/>
    </xf>
    <xf numFmtId="0" fontId="6" fillId="0" borderId="10" xfId="0" applyFont="1" applyBorder="1" applyAlignment="1">
      <alignment horizontal="right"/>
    </xf>
    <xf numFmtId="0" fontId="6" fillId="0" borderId="19" xfId="0" quotePrefix="1" applyFont="1" applyBorder="1" applyAlignment="1">
      <alignment horizontal="center"/>
    </xf>
    <xf numFmtId="0" fontId="6" fillId="0" borderId="35" xfId="0" applyFont="1" applyBorder="1"/>
    <xf numFmtId="0" fontId="6" fillId="0" borderId="21" xfId="0" applyFont="1" applyBorder="1" applyAlignment="1">
      <alignment horizontal="right"/>
    </xf>
    <xf numFmtId="0" fontId="6" fillId="0" borderId="27" xfId="0" applyFont="1" applyBorder="1" applyAlignment="1">
      <alignment horizontal="right"/>
    </xf>
    <xf numFmtId="0" fontId="6" fillId="0" borderId="19" xfId="0" applyFont="1" applyBorder="1"/>
    <xf numFmtId="0" fontId="9" fillId="0" borderId="15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2" borderId="39" xfId="0" applyFont="1" applyFill="1" applyBorder="1" applyAlignment="1">
      <alignment horizontal="center"/>
    </xf>
    <xf numFmtId="0" fontId="6" fillId="0" borderId="12" xfId="0" applyFont="1" applyBorder="1" applyAlignment="1">
      <alignment horizontal="right"/>
    </xf>
    <xf numFmtId="0" fontId="6" fillId="0" borderId="33" xfId="0" applyFont="1" applyBorder="1" applyAlignment="1">
      <alignment horizontal="right"/>
    </xf>
    <xf numFmtId="0" fontId="6" fillId="0" borderId="11" xfId="0" quotePrefix="1" applyFont="1" applyBorder="1" applyAlignment="1">
      <alignment horizontal="left"/>
    </xf>
    <xf numFmtId="0" fontId="4" fillId="2" borderId="40" xfId="0" applyFont="1" applyFill="1" applyBorder="1"/>
    <xf numFmtId="0" fontId="3" fillId="0" borderId="9" xfId="0" applyFont="1" applyBorder="1" applyAlignment="1">
      <alignment horizontal="left"/>
    </xf>
    <xf numFmtId="0" fontId="9" fillId="2" borderId="23" xfId="0" applyFont="1" applyFill="1" applyBorder="1"/>
    <xf numFmtId="0" fontId="9" fillId="2" borderId="11" xfId="0" applyFont="1" applyFill="1" applyBorder="1" applyAlignment="1">
      <alignment horizontal="center"/>
    </xf>
    <xf numFmtId="0" fontId="7" fillId="0" borderId="19" xfId="0" applyFont="1" applyBorder="1" applyAlignment="1">
      <alignment horizontal="right"/>
    </xf>
    <xf numFmtId="0" fontId="9" fillId="2" borderId="9" xfId="0" applyFont="1" applyFill="1" applyBorder="1"/>
    <xf numFmtId="0" fontId="9" fillId="0" borderId="7" xfId="0" applyFont="1" applyBorder="1"/>
  </cellXfs>
  <cellStyles count="1">
    <cellStyle name="Normal" xfId="0" builtinId="0"/>
  </cellStyles>
  <dxfs count="1">
    <dxf>
      <font>
        <color rgb="FF000000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62"/>
  <sheetViews>
    <sheetView tabSelected="1" zoomScale="85" zoomScaleNormal="85" workbookViewId="0">
      <selection activeCell="C4" sqref="C4"/>
    </sheetView>
  </sheetViews>
  <sheetFormatPr defaultColWidth="13.5" defaultRowHeight="15.75" customHeight="1" x14ac:dyDescent="0.25"/>
  <cols>
    <col min="1" max="1" width="33" customWidth="1"/>
    <col min="2" max="2" width="33.625" customWidth="1"/>
    <col min="3" max="3" width="26" customWidth="1"/>
    <col min="4" max="4" width="30.75" customWidth="1"/>
    <col min="5" max="5" width="23" customWidth="1"/>
    <col min="6" max="6" width="38.125" customWidth="1"/>
    <col min="7" max="7" width="31.75" customWidth="1"/>
    <col min="8" max="8" width="9" customWidth="1"/>
  </cols>
  <sheetData>
    <row r="1" spans="1:8" ht="30" customHeight="1" x14ac:dyDescent="0.5">
      <c r="A1" s="18" t="s">
        <v>62</v>
      </c>
      <c r="B1" s="19"/>
      <c r="C1" s="19"/>
      <c r="D1" s="19"/>
      <c r="E1" s="19"/>
      <c r="F1" s="19"/>
      <c r="G1" s="19"/>
      <c r="H1" s="19"/>
    </row>
    <row r="2" spans="1:8" ht="15" customHeight="1" x14ac:dyDescent="0.25">
      <c r="A2" s="1" t="s">
        <v>0</v>
      </c>
      <c r="B2" s="29">
        <v>303</v>
      </c>
      <c r="C2" s="12"/>
      <c r="D2" s="30"/>
      <c r="E2" s="30"/>
      <c r="F2" s="12"/>
      <c r="G2" s="12"/>
      <c r="H2" s="12"/>
    </row>
    <row r="3" spans="1:8" ht="15" customHeight="1" x14ac:dyDescent="0.25">
      <c r="A3" s="2" t="s">
        <v>1</v>
      </c>
      <c r="B3" s="31" t="s">
        <v>41</v>
      </c>
      <c r="C3" s="32"/>
      <c r="D3" s="30"/>
      <c r="E3" s="30"/>
      <c r="F3" s="32"/>
      <c r="G3" s="32"/>
      <c r="H3" s="32"/>
    </row>
    <row r="4" spans="1:8" ht="54" customHeight="1" x14ac:dyDescent="0.25">
      <c r="A4" s="9" t="s">
        <v>2</v>
      </c>
      <c r="B4" s="33" t="s">
        <v>42</v>
      </c>
      <c r="C4" s="32"/>
      <c r="D4" s="30"/>
      <c r="E4" s="30"/>
      <c r="F4" s="32"/>
      <c r="G4" s="32"/>
      <c r="H4" s="32"/>
    </row>
    <row r="5" spans="1:8" ht="15" customHeight="1" x14ac:dyDescent="0.25">
      <c r="A5" s="2" t="s">
        <v>3</v>
      </c>
      <c r="B5" s="34">
        <v>2</v>
      </c>
      <c r="C5" s="32"/>
      <c r="D5" s="30"/>
      <c r="E5" s="30"/>
      <c r="F5" s="32"/>
      <c r="G5" s="32"/>
      <c r="H5" s="32"/>
    </row>
    <row r="6" spans="1:8" ht="15" customHeight="1" x14ac:dyDescent="0.25">
      <c r="A6" s="3"/>
      <c r="B6" s="32"/>
      <c r="C6" s="32"/>
      <c r="D6" s="30"/>
      <c r="E6" s="30"/>
      <c r="F6" s="32"/>
      <c r="G6" s="32"/>
      <c r="H6" s="32"/>
    </row>
    <row r="7" spans="1:8" ht="15" customHeight="1" x14ac:dyDescent="0.25">
      <c r="A7" s="21" t="s">
        <v>4</v>
      </c>
      <c r="B7" s="86" t="s">
        <v>5</v>
      </c>
      <c r="C7" s="86" t="s">
        <v>6</v>
      </c>
      <c r="D7" s="86" t="s">
        <v>7</v>
      </c>
      <c r="E7" s="86" t="s">
        <v>8</v>
      </c>
      <c r="F7" s="23" t="s">
        <v>9</v>
      </c>
      <c r="G7" s="44" t="s">
        <v>10</v>
      </c>
      <c r="H7" s="44" t="s">
        <v>11</v>
      </c>
    </row>
    <row r="8" spans="1:8" ht="15" customHeight="1" x14ac:dyDescent="0.25">
      <c r="A8" s="21"/>
      <c r="B8" s="77" t="s">
        <v>44</v>
      </c>
      <c r="C8" s="77" t="s">
        <v>43</v>
      </c>
      <c r="D8" s="84" t="s">
        <v>59</v>
      </c>
      <c r="E8" s="80">
        <v>3</v>
      </c>
      <c r="F8" s="40">
        <v>300</v>
      </c>
      <c r="G8" s="73">
        <f t="shared" ref="G8:G12" si="0">E8*F8</f>
        <v>900</v>
      </c>
      <c r="H8" s="74" t="s">
        <v>12</v>
      </c>
    </row>
    <row r="9" spans="1:8" ht="15" customHeight="1" x14ac:dyDescent="0.25">
      <c r="A9" s="21"/>
      <c r="B9" s="78" t="s">
        <v>79</v>
      </c>
      <c r="C9" s="76" t="s">
        <v>74</v>
      </c>
      <c r="D9" s="83" t="s">
        <v>73</v>
      </c>
      <c r="E9" s="81">
        <v>1</v>
      </c>
      <c r="F9" s="76">
        <v>1700</v>
      </c>
      <c r="G9" s="70">
        <f t="shared" si="0"/>
        <v>1700</v>
      </c>
      <c r="H9" s="67" t="s">
        <v>12</v>
      </c>
    </row>
    <row r="10" spans="1:8" ht="15" customHeight="1" x14ac:dyDescent="0.25">
      <c r="A10" s="21"/>
      <c r="B10" s="77" t="s">
        <v>78</v>
      </c>
      <c r="C10" s="78" t="s">
        <v>72</v>
      </c>
      <c r="D10" s="69" t="s">
        <v>56</v>
      </c>
      <c r="E10" s="68">
        <v>1</v>
      </c>
      <c r="F10" s="78">
        <v>12</v>
      </c>
      <c r="G10" s="75">
        <f t="shared" si="0"/>
        <v>12</v>
      </c>
      <c r="H10" s="53" t="s">
        <v>12</v>
      </c>
    </row>
    <row r="11" spans="1:8" ht="15" customHeight="1" x14ac:dyDescent="0.25">
      <c r="A11" s="21"/>
      <c r="B11" s="77" t="s">
        <v>47</v>
      </c>
      <c r="C11" s="77" t="s">
        <v>46</v>
      </c>
      <c r="D11" s="85" t="s">
        <v>58</v>
      </c>
      <c r="E11" s="82">
        <v>5</v>
      </c>
      <c r="F11" s="77">
        <v>20</v>
      </c>
      <c r="G11" s="75">
        <f t="shared" si="0"/>
        <v>100</v>
      </c>
      <c r="H11" s="53" t="s">
        <v>12</v>
      </c>
    </row>
    <row r="12" spans="1:8" ht="15" customHeight="1" x14ac:dyDescent="0.25">
      <c r="A12" s="21"/>
      <c r="B12" s="78" t="s">
        <v>49</v>
      </c>
      <c r="C12" s="42" t="s">
        <v>48</v>
      </c>
      <c r="D12" s="84" t="s">
        <v>55</v>
      </c>
      <c r="E12" s="16">
        <v>1</v>
      </c>
      <c r="F12" s="42">
        <v>355</v>
      </c>
      <c r="G12" s="70">
        <f t="shared" si="0"/>
        <v>355</v>
      </c>
      <c r="H12" s="67" t="s">
        <v>12</v>
      </c>
    </row>
    <row r="13" spans="1:8" ht="15" customHeight="1" x14ac:dyDescent="0.25">
      <c r="A13" s="5"/>
      <c r="B13" s="32"/>
      <c r="C13" s="32"/>
      <c r="D13" s="30"/>
      <c r="E13" s="30"/>
      <c r="F13" s="32"/>
      <c r="G13" s="144"/>
      <c r="H13" s="144"/>
    </row>
    <row r="14" spans="1:8" ht="15" customHeight="1" x14ac:dyDescent="0.25">
      <c r="A14" s="57" t="s">
        <v>13</v>
      </c>
      <c r="B14" s="60" t="s">
        <v>5</v>
      </c>
      <c r="C14" s="60" t="s">
        <v>6</v>
      </c>
      <c r="D14" s="60" t="s">
        <v>7</v>
      </c>
      <c r="E14" s="60" t="s">
        <v>8</v>
      </c>
      <c r="F14" s="60" t="s">
        <v>9</v>
      </c>
      <c r="G14" s="101" t="s">
        <v>10</v>
      </c>
      <c r="H14" s="102" t="s">
        <v>11</v>
      </c>
    </row>
    <row r="15" spans="1:8" ht="15" customHeight="1" x14ac:dyDescent="0.25">
      <c r="A15" s="58"/>
      <c r="B15" s="63" t="s">
        <v>79</v>
      </c>
      <c r="C15" s="63" t="s">
        <v>74</v>
      </c>
      <c r="D15" s="69" t="s">
        <v>73</v>
      </c>
      <c r="E15" s="68">
        <v>1</v>
      </c>
      <c r="F15" s="64">
        <v>1700</v>
      </c>
      <c r="G15" s="66">
        <f t="shared" ref="G15" si="1">E15*F15</f>
        <v>1700</v>
      </c>
      <c r="H15" s="67" t="s">
        <v>12</v>
      </c>
    </row>
    <row r="16" spans="1:8" ht="15" customHeight="1" x14ac:dyDescent="0.25">
      <c r="A16" s="58"/>
      <c r="B16" s="49" t="s">
        <v>14</v>
      </c>
      <c r="C16" s="50"/>
      <c r="D16" s="50"/>
      <c r="E16" s="50"/>
      <c r="F16" s="50"/>
      <c r="G16" s="70">
        <f>SUM(G15:G15)</f>
        <v>1700</v>
      </c>
      <c r="H16" s="67" t="s">
        <v>12</v>
      </c>
    </row>
    <row r="17" spans="1:8" ht="15" customHeight="1" x14ac:dyDescent="0.25">
      <c r="A17" s="58"/>
      <c r="B17" s="49" t="s">
        <v>15</v>
      </c>
      <c r="C17" s="50"/>
      <c r="D17" s="50"/>
      <c r="E17" s="50"/>
      <c r="F17" s="50"/>
      <c r="G17" s="71">
        <v>0.25</v>
      </c>
      <c r="H17" s="72"/>
    </row>
    <row r="18" spans="1:8" ht="15" customHeight="1" x14ac:dyDescent="0.25">
      <c r="A18" s="59"/>
      <c r="B18" s="51" t="s">
        <v>16</v>
      </c>
      <c r="C18" s="52"/>
      <c r="D18" s="52"/>
      <c r="E18" s="52"/>
      <c r="F18" s="52"/>
      <c r="G18" s="43">
        <f>G16*(1+G17)</f>
        <v>2125</v>
      </c>
      <c r="H18" s="53" t="s">
        <v>12</v>
      </c>
    </row>
    <row r="19" spans="1:8" ht="15" customHeight="1" x14ac:dyDescent="0.25">
      <c r="A19" s="7"/>
      <c r="B19" s="13"/>
      <c r="C19" s="13"/>
      <c r="D19" s="10"/>
      <c r="E19" s="10"/>
      <c r="F19" s="27"/>
      <c r="G19" s="28"/>
      <c r="H19" s="11"/>
    </row>
    <row r="20" spans="1:8" ht="15" customHeight="1" x14ac:dyDescent="0.25">
      <c r="A20" s="87" t="s">
        <v>17</v>
      </c>
      <c r="B20" s="100" t="s">
        <v>50</v>
      </c>
      <c r="C20" s="99"/>
      <c r="D20" s="65" t="s">
        <v>51</v>
      </c>
      <c r="E20" s="16">
        <v>1</v>
      </c>
      <c r="F20" s="89">
        <v>5000</v>
      </c>
      <c r="G20" s="90">
        <f>E20*F20</f>
        <v>5000</v>
      </c>
      <c r="H20" s="67" t="s">
        <v>12</v>
      </c>
    </row>
    <row r="21" spans="1:8" ht="15" customHeight="1" x14ac:dyDescent="0.25">
      <c r="A21" s="26"/>
      <c r="B21" s="91" t="s">
        <v>18</v>
      </c>
      <c r="C21" s="92"/>
      <c r="D21" s="92"/>
      <c r="E21" s="92"/>
      <c r="F21" s="92"/>
      <c r="G21" s="28">
        <f>G20-G18</f>
        <v>2875</v>
      </c>
      <c r="H21" s="11" t="s">
        <v>12</v>
      </c>
    </row>
    <row r="22" spans="1:8" ht="15" customHeight="1" x14ac:dyDescent="0.25">
      <c r="A22" s="54" t="s">
        <v>19</v>
      </c>
      <c r="B22" s="45" t="s">
        <v>5</v>
      </c>
      <c r="C22" s="45" t="s">
        <v>6</v>
      </c>
      <c r="D22" s="45" t="s">
        <v>7</v>
      </c>
      <c r="E22" s="45" t="s">
        <v>8</v>
      </c>
      <c r="F22" s="45" t="s">
        <v>9</v>
      </c>
      <c r="G22" s="46" t="s">
        <v>10</v>
      </c>
      <c r="H22" s="47" t="s">
        <v>11</v>
      </c>
    </row>
    <row r="23" spans="1:8" ht="15" customHeight="1" x14ac:dyDescent="0.25">
      <c r="A23" s="55"/>
      <c r="B23" s="40" t="s">
        <v>44</v>
      </c>
      <c r="C23" s="40" t="s">
        <v>43</v>
      </c>
      <c r="D23" s="41" t="s">
        <v>45</v>
      </c>
      <c r="E23" s="41">
        <v>3</v>
      </c>
      <c r="F23" s="40">
        <v>300</v>
      </c>
      <c r="G23" s="11">
        <f t="shared" ref="G23" si="2">E23*F23</f>
        <v>900</v>
      </c>
      <c r="H23" s="48" t="s">
        <v>12</v>
      </c>
    </row>
    <row r="24" spans="1:8" ht="15" customHeight="1" x14ac:dyDescent="0.25">
      <c r="A24" s="55"/>
      <c r="B24" s="49" t="s">
        <v>14</v>
      </c>
      <c r="C24" s="50"/>
      <c r="D24" s="50"/>
      <c r="E24" s="50"/>
      <c r="F24" s="50"/>
      <c r="G24" s="70">
        <f>SUM(G23:G23)</f>
        <v>900</v>
      </c>
      <c r="H24" s="67" t="s">
        <v>12</v>
      </c>
    </row>
    <row r="25" spans="1:8" ht="15" customHeight="1" x14ac:dyDescent="0.25">
      <c r="A25" s="56"/>
      <c r="B25" s="51" t="s">
        <v>15</v>
      </c>
      <c r="C25" s="52"/>
      <c r="D25" s="52"/>
      <c r="E25" s="52"/>
      <c r="F25" s="52"/>
      <c r="G25" s="93">
        <v>0.25</v>
      </c>
      <c r="H25" s="94"/>
    </row>
    <row r="26" spans="1:8" ht="15" customHeight="1" x14ac:dyDescent="0.25">
      <c r="A26" s="25"/>
      <c r="B26" s="20" t="s">
        <v>20</v>
      </c>
      <c r="C26" s="24"/>
      <c r="D26" s="24"/>
      <c r="E26" s="24"/>
      <c r="F26" s="24"/>
      <c r="G26" s="11">
        <f>G24*(1+G25)</f>
        <v>1125</v>
      </c>
      <c r="H26" s="11" t="s">
        <v>12</v>
      </c>
    </row>
    <row r="27" spans="1:8" ht="15" customHeight="1" x14ac:dyDescent="0.25">
      <c r="A27" s="98" t="s">
        <v>21</v>
      </c>
      <c r="B27" s="88" t="s">
        <v>52</v>
      </c>
      <c r="C27" s="97" t="s">
        <v>70</v>
      </c>
      <c r="D27" s="69" t="s">
        <v>71</v>
      </c>
      <c r="E27" s="68">
        <v>1</v>
      </c>
      <c r="F27" s="96">
        <v>2000</v>
      </c>
      <c r="G27" s="95">
        <f>E27*F27</f>
        <v>2000</v>
      </c>
      <c r="H27" s="67" t="s">
        <v>12</v>
      </c>
    </row>
    <row r="28" spans="1:8" ht="15" customHeight="1" x14ac:dyDescent="0.25">
      <c r="A28" s="26"/>
      <c r="B28" s="91" t="s">
        <v>22</v>
      </c>
      <c r="C28" s="92"/>
      <c r="D28" s="92"/>
      <c r="E28" s="92"/>
      <c r="F28" s="92"/>
      <c r="G28" s="28">
        <f>G27-G26</f>
        <v>875</v>
      </c>
      <c r="H28" s="11" t="s">
        <v>12</v>
      </c>
    </row>
    <row r="29" spans="1:8" ht="15" customHeight="1" x14ac:dyDescent="0.25">
      <c r="A29" s="54" t="s">
        <v>24</v>
      </c>
      <c r="B29" s="60" t="s">
        <v>5</v>
      </c>
      <c r="C29" s="45" t="s">
        <v>6</v>
      </c>
      <c r="D29" s="60" t="s">
        <v>7</v>
      </c>
      <c r="E29" s="60" t="s">
        <v>8</v>
      </c>
      <c r="F29" s="60" t="s">
        <v>9</v>
      </c>
      <c r="G29" s="101" t="s">
        <v>10</v>
      </c>
      <c r="H29" s="102" t="s">
        <v>11</v>
      </c>
    </row>
    <row r="30" spans="1:8" ht="15" customHeight="1" x14ac:dyDescent="0.25">
      <c r="A30" s="55"/>
      <c r="B30" s="76" t="s">
        <v>49</v>
      </c>
      <c r="C30" s="40" t="s">
        <v>48</v>
      </c>
      <c r="D30" s="83" t="s">
        <v>55</v>
      </c>
      <c r="E30" s="79">
        <v>1</v>
      </c>
      <c r="F30" s="76">
        <v>355</v>
      </c>
      <c r="G30" s="36">
        <f t="shared" ref="G30:G32" si="3">E30*F30</f>
        <v>355</v>
      </c>
      <c r="H30" s="48" t="s">
        <v>12</v>
      </c>
    </row>
    <row r="31" spans="1:8" ht="15" customHeight="1" x14ac:dyDescent="0.25">
      <c r="A31" s="55"/>
      <c r="B31" s="78" t="s">
        <v>77</v>
      </c>
      <c r="C31" s="64" t="s">
        <v>72</v>
      </c>
      <c r="D31" s="69" t="s">
        <v>59</v>
      </c>
      <c r="E31" s="16">
        <v>1</v>
      </c>
      <c r="F31" s="78">
        <v>25</v>
      </c>
      <c r="G31" s="70">
        <v>25</v>
      </c>
      <c r="H31" s="67" t="s">
        <v>12</v>
      </c>
    </row>
    <row r="32" spans="1:8" ht="15" customHeight="1" x14ac:dyDescent="0.25">
      <c r="A32" s="55"/>
      <c r="B32" s="77" t="s">
        <v>47</v>
      </c>
      <c r="C32" s="63" t="s">
        <v>46</v>
      </c>
      <c r="D32" s="85" t="s">
        <v>58</v>
      </c>
      <c r="E32" s="80">
        <v>5</v>
      </c>
      <c r="F32" s="77">
        <v>20</v>
      </c>
      <c r="G32" s="70">
        <f t="shared" si="3"/>
        <v>100</v>
      </c>
      <c r="H32" s="67" t="s">
        <v>12</v>
      </c>
    </row>
    <row r="33" spans="1:8" ht="15" customHeight="1" x14ac:dyDescent="0.25">
      <c r="A33" s="55"/>
      <c r="B33" s="49" t="s">
        <v>14</v>
      </c>
      <c r="C33" s="50"/>
      <c r="D33" s="50"/>
      <c r="E33" s="50"/>
      <c r="F33" s="50"/>
      <c r="G33" s="11">
        <f>SUM(G29:G32)</f>
        <v>480</v>
      </c>
      <c r="H33" s="48" t="s">
        <v>12</v>
      </c>
    </row>
    <row r="34" spans="1:8" ht="15" customHeight="1" x14ac:dyDescent="0.25">
      <c r="A34" s="55"/>
      <c r="B34" s="49" t="s">
        <v>15</v>
      </c>
      <c r="C34" s="50"/>
      <c r="D34" s="50"/>
      <c r="E34" s="50"/>
      <c r="F34" s="50"/>
      <c r="G34" s="103">
        <v>0.25</v>
      </c>
      <c r="H34" s="72"/>
    </row>
    <row r="35" spans="1:8" ht="15" customHeight="1" x14ac:dyDescent="0.25">
      <c r="A35" s="56"/>
      <c r="B35" s="51" t="s">
        <v>25</v>
      </c>
      <c r="C35" s="52"/>
      <c r="D35" s="52"/>
      <c r="E35" s="52"/>
      <c r="F35" s="52"/>
      <c r="G35" s="43">
        <f>G33*(1+G34)</f>
        <v>600</v>
      </c>
      <c r="H35" s="53" t="s">
        <v>12</v>
      </c>
    </row>
    <row r="36" spans="1:8" ht="15" customHeight="1" x14ac:dyDescent="0.25">
      <c r="A36" s="7"/>
      <c r="B36" s="13"/>
      <c r="C36" s="13"/>
      <c r="D36" s="10"/>
      <c r="E36" s="10"/>
      <c r="F36" s="27"/>
      <c r="G36" s="28"/>
      <c r="H36" s="11"/>
    </row>
    <row r="37" spans="1:8" ht="15" customHeight="1" x14ac:dyDescent="0.25">
      <c r="A37" s="7" t="s">
        <v>23</v>
      </c>
      <c r="B37" s="15" t="s">
        <v>54</v>
      </c>
      <c r="C37" s="13" t="s">
        <v>53</v>
      </c>
      <c r="D37" s="14" t="s">
        <v>60</v>
      </c>
      <c r="E37" s="10">
        <v>1</v>
      </c>
      <c r="F37" s="27">
        <v>1000</v>
      </c>
      <c r="G37" s="28">
        <f>E37*F37</f>
        <v>1000</v>
      </c>
      <c r="H37" s="11" t="s">
        <v>12</v>
      </c>
    </row>
    <row r="38" spans="1:8" ht="15" customHeight="1" x14ac:dyDescent="0.25">
      <c r="A38" s="7"/>
      <c r="B38" s="91" t="s">
        <v>61</v>
      </c>
      <c r="C38" s="92"/>
      <c r="D38" s="92"/>
      <c r="E38" s="92"/>
      <c r="F38" s="92"/>
      <c r="G38" s="28">
        <f>G37-G35</f>
        <v>400</v>
      </c>
      <c r="H38" s="11" t="s">
        <v>12</v>
      </c>
    </row>
    <row r="39" spans="1:8" ht="15" customHeight="1" x14ac:dyDescent="0.25">
      <c r="A39" s="118" t="s">
        <v>26</v>
      </c>
      <c r="B39" s="44" t="s">
        <v>5</v>
      </c>
      <c r="C39" s="124" t="s">
        <v>6</v>
      </c>
      <c r="D39" s="123" t="s">
        <v>7</v>
      </c>
      <c r="E39" s="122" t="s">
        <v>27</v>
      </c>
      <c r="F39" s="60" t="s">
        <v>9</v>
      </c>
      <c r="G39" s="61" t="s">
        <v>10</v>
      </c>
      <c r="H39" s="62" t="s">
        <v>11</v>
      </c>
    </row>
    <row r="40" spans="1:8" ht="15" customHeight="1" x14ac:dyDescent="0.25">
      <c r="A40" s="119" t="s">
        <v>28</v>
      </c>
      <c r="B40" s="100" t="s">
        <v>50</v>
      </c>
      <c r="C40" s="68" t="s">
        <v>51</v>
      </c>
      <c r="D40" s="65" t="s">
        <v>51</v>
      </c>
      <c r="E40" s="69" t="s">
        <v>57</v>
      </c>
      <c r="F40" s="121">
        <v>5000</v>
      </c>
      <c r="G40" s="120">
        <f>F40</f>
        <v>5000</v>
      </c>
      <c r="H40" s="99" t="s">
        <v>12</v>
      </c>
    </row>
    <row r="41" spans="1:8" ht="15" customHeight="1" x14ac:dyDescent="0.25">
      <c r="A41" s="106"/>
      <c r="B41" s="104"/>
      <c r="C41" s="104"/>
      <c r="D41" s="41"/>
      <c r="E41" s="41"/>
      <c r="F41" s="105"/>
      <c r="G41" s="28"/>
      <c r="H41" s="107"/>
    </row>
    <row r="42" spans="1:8" ht="15" customHeight="1" x14ac:dyDescent="0.25">
      <c r="A42" s="113" t="s">
        <v>29</v>
      </c>
      <c r="B42" s="116" t="s">
        <v>65</v>
      </c>
      <c r="C42" s="79" t="s">
        <v>51</v>
      </c>
      <c r="D42" s="81" t="s">
        <v>51</v>
      </c>
      <c r="E42" s="125" t="s">
        <v>57</v>
      </c>
      <c r="F42" s="129">
        <v>1662.5</v>
      </c>
      <c r="G42" s="130">
        <f>F42</f>
        <v>1662.5</v>
      </c>
      <c r="H42" s="78" t="s">
        <v>12</v>
      </c>
    </row>
    <row r="43" spans="1:8" ht="15" customHeight="1" x14ac:dyDescent="0.25">
      <c r="A43" s="114"/>
      <c r="B43" s="100" t="s">
        <v>52</v>
      </c>
      <c r="C43" s="100" t="s">
        <v>70</v>
      </c>
      <c r="D43" s="112" t="s">
        <v>71</v>
      </c>
      <c r="E43" s="69" t="s">
        <v>68</v>
      </c>
      <c r="F43" s="17">
        <v>2000</v>
      </c>
      <c r="G43" s="121">
        <f>F43</f>
        <v>2000</v>
      </c>
      <c r="H43" s="78" t="s">
        <v>12</v>
      </c>
    </row>
    <row r="44" spans="1:8" ht="15" customHeight="1" x14ac:dyDescent="0.25">
      <c r="A44" s="115"/>
      <c r="B44" s="77" t="s">
        <v>66</v>
      </c>
      <c r="C44" s="117" t="s">
        <v>53</v>
      </c>
      <c r="D44" s="111" t="s">
        <v>60</v>
      </c>
      <c r="E44" s="127" t="s">
        <v>67</v>
      </c>
      <c r="F44" s="131">
        <v>1000</v>
      </c>
      <c r="G44" s="77">
        <f>F44</f>
        <v>1000</v>
      </c>
      <c r="H44" s="128" t="s">
        <v>12</v>
      </c>
    </row>
    <row r="45" spans="1:8" ht="15" customHeight="1" x14ac:dyDescent="0.25">
      <c r="A45" s="108"/>
      <c r="B45" s="109" t="s">
        <v>30</v>
      </c>
      <c r="C45" s="52"/>
      <c r="D45" s="52"/>
      <c r="E45" s="52"/>
      <c r="F45" s="52"/>
      <c r="G45" s="95">
        <f>G40-SUM(G42:G44)</f>
        <v>337.5</v>
      </c>
      <c r="H45" s="99" t="s">
        <v>12</v>
      </c>
    </row>
    <row r="46" spans="1:8" ht="15" customHeight="1" x14ac:dyDescent="0.25">
      <c r="A46" s="8"/>
      <c r="B46" s="30"/>
      <c r="C46" s="30"/>
      <c r="D46" s="30"/>
      <c r="E46" s="30"/>
      <c r="F46" s="132"/>
      <c r="G46" s="133"/>
      <c r="H46" s="133"/>
    </row>
    <row r="47" spans="1:8" ht="15" customHeight="1" x14ac:dyDescent="0.25">
      <c r="A47" s="138" t="s">
        <v>31</v>
      </c>
      <c r="B47" s="39" t="s">
        <v>5</v>
      </c>
      <c r="C47" s="39" t="s">
        <v>6</v>
      </c>
      <c r="D47" s="22" t="s">
        <v>7</v>
      </c>
      <c r="E47" s="35" t="s">
        <v>27</v>
      </c>
      <c r="F47" s="23" t="s">
        <v>9</v>
      </c>
      <c r="G47" s="134" t="s">
        <v>10</v>
      </c>
      <c r="H47" s="47" t="s">
        <v>11</v>
      </c>
    </row>
    <row r="48" spans="1:8" ht="15" customHeight="1" x14ac:dyDescent="0.25">
      <c r="A48" s="139" t="s">
        <v>32</v>
      </c>
      <c r="B48" s="137" t="s">
        <v>69</v>
      </c>
      <c r="C48" s="112" t="s">
        <v>80</v>
      </c>
      <c r="D48" s="16" t="s">
        <v>63</v>
      </c>
      <c r="E48" s="16" t="s">
        <v>64</v>
      </c>
      <c r="F48" s="17">
        <v>3000</v>
      </c>
      <c r="G48" s="135">
        <f>F48</f>
        <v>3000</v>
      </c>
      <c r="H48" s="110" t="s">
        <v>12</v>
      </c>
    </row>
    <row r="49" spans="1:8" ht="15" customHeight="1" x14ac:dyDescent="0.25">
      <c r="A49" s="8"/>
      <c r="B49" s="13"/>
      <c r="C49" s="13"/>
      <c r="D49" s="10"/>
      <c r="E49" s="10"/>
      <c r="F49" s="27"/>
      <c r="G49" s="28"/>
      <c r="H49" s="36"/>
    </row>
    <row r="50" spans="1:8" ht="15" customHeight="1" x14ac:dyDescent="0.25">
      <c r="A50" s="113" t="s">
        <v>34</v>
      </c>
      <c r="B50" s="116" t="s">
        <v>65</v>
      </c>
      <c r="C50" s="79" t="s">
        <v>51</v>
      </c>
      <c r="D50" s="79" t="s">
        <v>51</v>
      </c>
      <c r="E50" s="83" t="s">
        <v>57</v>
      </c>
      <c r="F50" s="126">
        <v>1662.5</v>
      </c>
      <c r="G50" s="136">
        <v>1000</v>
      </c>
      <c r="H50" s="74" t="s">
        <v>12</v>
      </c>
    </row>
    <row r="51" spans="1:8" ht="15" customHeight="1" x14ac:dyDescent="0.25">
      <c r="A51" s="114"/>
      <c r="B51" s="100" t="s">
        <v>52</v>
      </c>
      <c r="C51" s="100" t="s">
        <v>70</v>
      </c>
      <c r="D51" s="69" t="s">
        <v>71</v>
      </c>
      <c r="E51" s="69" t="s">
        <v>68</v>
      </c>
      <c r="F51" s="96">
        <v>2000</v>
      </c>
      <c r="G51" s="95">
        <v>900</v>
      </c>
      <c r="H51" s="74" t="s">
        <v>12</v>
      </c>
    </row>
    <row r="52" spans="1:8" ht="15" customHeight="1" x14ac:dyDescent="0.25">
      <c r="A52" s="115"/>
      <c r="B52" s="77" t="s">
        <v>66</v>
      </c>
      <c r="C52" s="117" t="s">
        <v>53</v>
      </c>
      <c r="D52" s="84" t="s">
        <v>60</v>
      </c>
      <c r="E52" s="84" t="s">
        <v>67</v>
      </c>
      <c r="F52" s="128">
        <v>1000</v>
      </c>
      <c r="G52" s="76">
        <v>500</v>
      </c>
      <c r="H52" s="107" t="s">
        <v>12</v>
      </c>
    </row>
    <row r="53" spans="1:8" ht="15" customHeight="1" x14ac:dyDescent="0.25">
      <c r="A53" s="8"/>
      <c r="B53" s="37" t="s">
        <v>35</v>
      </c>
      <c r="C53" s="24"/>
      <c r="D53" s="24"/>
      <c r="E53" s="24"/>
      <c r="F53" s="50"/>
      <c r="G53" s="95">
        <f>G48-SUM(G50:G52)</f>
        <v>600</v>
      </c>
      <c r="H53" s="99" t="s">
        <v>12</v>
      </c>
    </row>
    <row r="54" spans="1:8" ht="15" customHeight="1" x14ac:dyDescent="0.25">
      <c r="A54" s="6"/>
      <c r="B54" s="12"/>
      <c r="C54" s="12"/>
      <c r="D54" s="38"/>
      <c r="E54" s="10"/>
      <c r="F54" s="12"/>
      <c r="G54" s="40"/>
      <c r="H54" s="41"/>
    </row>
    <row r="55" spans="1:8" ht="15" customHeight="1" x14ac:dyDescent="0.25">
      <c r="A55" s="57" t="s">
        <v>76</v>
      </c>
      <c r="B55" s="140" t="s">
        <v>5</v>
      </c>
      <c r="C55" s="140" t="s">
        <v>6</v>
      </c>
      <c r="D55" s="44" t="s">
        <v>7</v>
      </c>
      <c r="E55" s="44"/>
      <c r="F55" s="141" t="s">
        <v>36</v>
      </c>
      <c r="G55" s="102" t="s">
        <v>37</v>
      </c>
      <c r="H55" s="143"/>
    </row>
    <row r="56" spans="1:8" ht="15" customHeight="1" x14ac:dyDescent="0.25">
      <c r="A56" s="59"/>
      <c r="B56" s="78" t="s">
        <v>33</v>
      </c>
      <c r="C56" s="78" t="s">
        <v>75</v>
      </c>
      <c r="D56" s="68" t="s">
        <v>38</v>
      </c>
      <c r="E56" s="10"/>
      <c r="F56" s="63">
        <v>5500</v>
      </c>
      <c r="G56" s="67">
        <f>SUM(G50:G52)</f>
        <v>2400</v>
      </c>
      <c r="H56" s="77" t="s">
        <v>12</v>
      </c>
    </row>
    <row r="57" spans="1:8" ht="15" customHeight="1" x14ac:dyDescent="0.25">
      <c r="A57" s="4"/>
      <c r="B57" s="12"/>
      <c r="C57" s="12"/>
      <c r="D57" s="10"/>
      <c r="E57" s="10"/>
      <c r="F57" s="142" t="s">
        <v>39</v>
      </c>
      <c r="G57" s="43">
        <f>F56/G56</f>
        <v>2.2916666666666665</v>
      </c>
      <c r="H57" s="53" t="s">
        <v>40</v>
      </c>
    </row>
    <row r="58" spans="1:8" ht="15.75" customHeight="1" x14ac:dyDescent="0.25">
      <c r="B58" s="12"/>
      <c r="C58" s="12"/>
      <c r="D58" s="12"/>
      <c r="E58" s="12"/>
      <c r="F58" s="12"/>
      <c r="G58" s="12"/>
      <c r="H58" s="12"/>
    </row>
    <row r="59" spans="1:8" ht="15.75" customHeight="1" x14ac:dyDescent="0.25">
      <c r="B59" s="12"/>
      <c r="C59" s="12"/>
      <c r="D59" s="12"/>
      <c r="E59" s="12"/>
      <c r="F59" s="12"/>
      <c r="G59" s="12"/>
      <c r="H59" s="12"/>
    </row>
    <row r="60" spans="1:8" ht="15.75" customHeight="1" x14ac:dyDescent="0.25">
      <c r="B60" s="12"/>
      <c r="C60" s="12"/>
      <c r="D60" s="12"/>
      <c r="E60" s="12"/>
      <c r="F60" s="12"/>
      <c r="G60" s="12"/>
      <c r="H60" s="12"/>
    </row>
    <row r="61" spans="1:8" ht="15.75" customHeight="1" x14ac:dyDescent="0.25">
      <c r="B61" s="12"/>
      <c r="C61" s="12"/>
      <c r="D61" s="12"/>
      <c r="E61" s="12"/>
      <c r="F61" s="12"/>
      <c r="G61" s="12"/>
      <c r="H61" s="12"/>
    </row>
    <row r="62" spans="1:8" ht="15.75" customHeight="1" x14ac:dyDescent="0.25">
      <c r="B62" s="12"/>
      <c r="C62" s="12"/>
      <c r="D62" s="12"/>
      <c r="E62" s="12"/>
      <c r="F62" s="12"/>
      <c r="G62" s="12"/>
      <c r="H62" s="12"/>
    </row>
  </sheetData>
  <mergeCells count="22">
    <mergeCell ref="A22:A25"/>
    <mergeCell ref="A29:A35"/>
    <mergeCell ref="A55:A56"/>
    <mergeCell ref="B53:F53"/>
    <mergeCell ref="B35:F35"/>
    <mergeCell ref="B38:F38"/>
    <mergeCell ref="A42:A44"/>
    <mergeCell ref="B45:F45"/>
    <mergeCell ref="A50:A52"/>
    <mergeCell ref="A1:H1"/>
    <mergeCell ref="B16:F16"/>
    <mergeCell ref="B17:F17"/>
    <mergeCell ref="A7:A12"/>
    <mergeCell ref="B18:F18"/>
    <mergeCell ref="B21:F21"/>
    <mergeCell ref="B24:F24"/>
    <mergeCell ref="B25:F25"/>
    <mergeCell ref="B26:F26"/>
    <mergeCell ref="B28:F28"/>
    <mergeCell ref="B33:F33"/>
    <mergeCell ref="B34:F34"/>
    <mergeCell ref="A14:A18"/>
  </mergeCells>
  <conditionalFormatting sqref="G21 G28 G38">
    <cfRule type="cellIs" dxfId="0" priority="1" operator="lessThan">
      <formula>0</formula>
    </cfRule>
  </conditionalFormatting>
  <pageMargins left="0.7" right="0.7" top="0.75" bottom="0.75" header="0.3" footer="0.3"/>
  <pageSetup scale="37" orientation="portrait" r:id="rId1"/>
  <ignoredErrors>
    <ignoredError sqref="C48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bmbis</dc:creator>
  <cp:lastModifiedBy>Armando Botiller (Student)</cp:lastModifiedBy>
  <cp:lastPrinted>2026-03-21T23:20:13Z</cp:lastPrinted>
  <dcterms:created xsi:type="dcterms:W3CDTF">2026-03-21T23:19:47Z</dcterms:created>
  <dcterms:modified xsi:type="dcterms:W3CDTF">2026-05-05T11:06:17Z</dcterms:modified>
</cp:coreProperties>
</file>